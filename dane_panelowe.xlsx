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2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ichalksiazek/Documents/ekonometria/Michał/"/>
    </mc:Choice>
  </mc:AlternateContent>
  <xr:revisionPtr revIDLastSave="0" documentId="13_ncr:1_{AEBC782A-4FB2-C143-BE8E-C8BF9D2839C6}" xr6:coauthVersionLast="47" xr6:coauthVersionMax="47" xr10:uidLastSave="{00000000-0000-0000-0000-000000000000}"/>
  <bookViews>
    <workbookView xWindow="0" yWindow="720" windowWidth="29400" windowHeight="18400" xr2:uid="{00000000-000D-0000-FFFF-FFFF00000000}"/>
  </bookViews>
  <sheets>
    <sheet name="Sheet1" sheetId="1" r:id="rId1"/>
  </sheets>
  <definedNames>
    <definedName name="_xlnm._FilterDatabase" localSheetId="0" hidden="1">Sheet1!$A$1:$N$325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7" i="1" l="1"/>
  <c r="J60" i="1"/>
  <c r="J6" i="1"/>
  <c r="B78" i="1"/>
  <c r="B105" i="1"/>
  <c r="B132" i="1"/>
  <c r="B159" i="1"/>
  <c r="B186" i="1"/>
  <c r="B213" i="1"/>
  <c r="B240" i="1"/>
  <c r="B267" i="1"/>
  <c r="B294" i="1"/>
  <c r="B321" i="1"/>
  <c r="B51" i="1" l="1"/>
</calcChain>
</file>

<file path=xl/sharedStrings.xml><?xml version="1.0" encoding="utf-8"?>
<sst xmlns="http://schemas.openxmlformats.org/spreadsheetml/2006/main" count="662" uniqueCount="68">
  <si>
    <t>kraj</t>
  </si>
  <si>
    <t>rok</t>
  </si>
  <si>
    <t>Electricity prices</t>
  </si>
  <si>
    <t>GDP</t>
  </si>
  <si>
    <t>Stopa bezrobocia</t>
  </si>
  <si>
    <t>Inflancja</t>
  </si>
  <si>
    <t>Średnie zarobki</t>
  </si>
  <si>
    <t>Ślad zużycia</t>
  </si>
  <si>
    <t>Czas w unii europejskiej</t>
  </si>
  <si>
    <t>Belgium</t>
  </si>
  <si>
    <t>Bulgaria</t>
  </si>
  <si>
    <t>Czechia</t>
  </si>
  <si>
    <t>Denmark</t>
  </si>
  <si>
    <t>Germany</t>
  </si>
  <si>
    <t>Estonia</t>
  </si>
  <si>
    <t>Ireland</t>
  </si>
  <si>
    <t>Greece</t>
  </si>
  <si>
    <t>Spain</t>
  </si>
  <si>
    <t>France</t>
  </si>
  <si>
    <t>Croatia</t>
  </si>
  <si>
    <t>Italy</t>
  </si>
  <si>
    <t>Cyprus</t>
  </si>
  <si>
    <t>Latvia</t>
  </si>
  <si>
    <t>Lithuania</t>
  </si>
  <si>
    <t>Luxembourg</t>
  </si>
  <si>
    <t>Hungary</t>
  </si>
  <si>
    <t>Malta</t>
  </si>
  <si>
    <t>Netherlands</t>
  </si>
  <si>
    <t>Austria</t>
  </si>
  <si>
    <t>Poland</t>
  </si>
  <si>
    <t>Portugal</t>
  </si>
  <si>
    <t>Romania</t>
  </si>
  <si>
    <t>Slovenia</t>
  </si>
  <si>
    <t>Slovakia</t>
  </si>
  <si>
    <t>Finland</t>
  </si>
  <si>
    <t>Sweden</t>
  </si>
  <si>
    <t>Jednostkowy koszt pracy</t>
  </si>
  <si>
    <t>PPP</t>
  </si>
  <si>
    <t>ID</t>
  </si>
  <si>
    <t>AT</t>
  </si>
  <si>
    <t>BE</t>
  </si>
  <si>
    <t>BG</t>
  </si>
  <si>
    <t>HR</t>
  </si>
  <si>
    <t>CZ</t>
  </si>
  <si>
    <t>CY</t>
  </si>
  <si>
    <t>DK</t>
  </si>
  <si>
    <t>EE</t>
  </si>
  <si>
    <t>FI</t>
  </si>
  <si>
    <t>FR</t>
  </si>
  <si>
    <t>DE</t>
  </si>
  <si>
    <t>EL</t>
  </si>
  <si>
    <t>HU</t>
  </si>
  <si>
    <t>IE</t>
  </si>
  <si>
    <t>IT</t>
  </si>
  <si>
    <t>LV</t>
  </si>
  <si>
    <t>LT</t>
  </si>
  <si>
    <t>LU</t>
  </si>
  <si>
    <t>MT</t>
  </si>
  <si>
    <t>NL</t>
  </si>
  <si>
    <t>PL</t>
  </si>
  <si>
    <t>PT</t>
  </si>
  <si>
    <t>RO</t>
  </si>
  <si>
    <t>SK</t>
  </si>
  <si>
    <t>SI</t>
  </si>
  <si>
    <t>ES</t>
  </si>
  <si>
    <t>SE</t>
  </si>
  <si>
    <t>skr</t>
  </si>
  <si>
    <t xml:space="preserve">Gęstość zaludnienia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</si>
</sst>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########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name val="Arial"/>
      <family val="2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2" fillId="0" borderId="0" xfId="0" applyNumberFormat="1" applyFont="1" applyAlignment="1">
      <alignment horizontal="right" vertical="center" shrinkToFit="1"/>
    </xf>
    <xf numFmtId="3" fontId="2" fillId="0" borderId="0" xfId="0" applyNumberFormat="1" applyFont="1" applyAlignment="1">
      <alignment horizontal="right" vertical="center" shrinkToFit="1"/>
    </xf>
    <xf numFmtId="164" fontId="2" fillId="2" borderId="0" xfId="0" applyNumberFormat="1" applyFont="1" applyFill="1" applyAlignment="1">
      <alignment horizontal="right" vertical="center" shrinkToFit="1"/>
    </xf>
    <xf numFmtId="3" fontId="2" fillId="2" borderId="0" xfId="0" applyNumberFormat="1" applyFont="1" applyFill="1" applyAlignment="1">
      <alignment horizontal="right" vertical="center" shrinkToFit="1"/>
    </xf>
    <xf numFmtId="4" fontId="0" fillId="0" borderId="0" xfId="0" applyNumberFormat="1"/>
    <xf numFmtId="164" fontId="0" fillId="0" borderId="0" xfId="0" applyNumberFormat="1"/>
    <xf numFmtId="0" fontId="3" fillId="0" borderId="0" xfId="0" applyFont="1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5"/>
  <sheetViews>
    <sheetView tabSelected="1" workbookViewId="0">
      <selection activeCell="K1" sqref="K1:K1048576"/>
    </sheetView>
  </sheetViews>
  <sheetFormatPr baseColWidth="10" defaultColWidth="8.83203125" defaultRowHeight="15" x14ac:dyDescent="0.2"/>
  <cols>
    <col min="5" max="5" width="22.1640625" bestFit="1" customWidth="1"/>
    <col min="6" max="6" width="14" bestFit="1" customWidth="1"/>
    <col min="7" max="7" width="10.1640625" bestFit="1" customWidth="1"/>
    <col min="8" max="8" width="14.33203125" bestFit="1" customWidth="1"/>
    <col min="9" max="9" width="7.6640625" bestFit="1" customWidth="1"/>
    <col min="10" max="10" width="13" bestFit="1" customWidth="1"/>
    <col min="11" max="11" width="16.83203125" bestFit="1" customWidth="1"/>
    <col min="12" max="12" width="10.1640625" bestFit="1" customWidth="1"/>
    <col min="13" max="13" width="19.1640625" bestFit="1" customWidth="1"/>
  </cols>
  <sheetData>
    <row r="1" spans="1:14" x14ac:dyDescent="0.2">
      <c r="A1" s="1" t="s">
        <v>0</v>
      </c>
      <c r="B1" s="1" t="s">
        <v>38</v>
      </c>
      <c r="C1" s="1" t="s">
        <v>66</v>
      </c>
      <c r="D1" s="1" t="s">
        <v>1</v>
      </c>
      <c r="E1" s="1" t="s">
        <v>37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67</v>
      </c>
      <c r="L1" s="1" t="s">
        <v>7</v>
      </c>
      <c r="M1" s="1" t="s">
        <v>36</v>
      </c>
      <c r="N1" s="1" t="s">
        <v>8</v>
      </c>
    </row>
    <row r="2" spans="1:14" x14ac:dyDescent="0.2">
      <c r="A2" t="s">
        <v>28</v>
      </c>
      <c r="B2">
        <v>1</v>
      </c>
      <c r="C2" s="8" t="s">
        <v>39</v>
      </c>
      <c r="D2">
        <v>2013</v>
      </c>
      <c r="E2">
        <v>108</v>
      </c>
      <c r="F2">
        <v>0.2082</v>
      </c>
      <c r="G2">
        <v>290860.7</v>
      </c>
      <c r="H2">
        <v>3.7999999999999999E-2</v>
      </c>
      <c r="I2">
        <v>2.1000000000000001E-2</v>
      </c>
      <c r="J2">
        <v>60166.04</v>
      </c>
      <c r="K2">
        <v>366.3</v>
      </c>
      <c r="L2" s="4">
        <v>0.96</v>
      </c>
      <c r="M2">
        <v>2.5</v>
      </c>
      <c r="N2">
        <v>18</v>
      </c>
    </row>
    <row r="3" spans="1:14" x14ac:dyDescent="0.2">
      <c r="A3" t="s">
        <v>9</v>
      </c>
      <c r="B3">
        <v>2</v>
      </c>
      <c r="C3" s="8" t="s">
        <v>40</v>
      </c>
      <c r="D3">
        <v>2013</v>
      </c>
      <c r="E3">
        <v>111.5</v>
      </c>
      <c r="F3">
        <v>0.21729999999999999</v>
      </c>
      <c r="G3">
        <v>353323.4</v>
      </c>
      <c r="H3">
        <v>5.0999999999999997E-2</v>
      </c>
      <c r="I3">
        <v>1.2E-2</v>
      </c>
      <c r="J3">
        <v>58264.78</v>
      </c>
      <c r="K3">
        <v>67.099999999999994</v>
      </c>
      <c r="L3" s="2">
        <v>1.04</v>
      </c>
      <c r="M3">
        <v>2</v>
      </c>
      <c r="N3">
        <v>55</v>
      </c>
    </row>
    <row r="4" spans="1:14" x14ac:dyDescent="0.2">
      <c r="A4" t="s">
        <v>10</v>
      </c>
      <c r="B4">
        <v>3</v>
      </c>
      <c r="C4" s="8" t="s">
        <v>41</v>
      </c>
      <c r="D4">
        <v>2013</v>
      </c>
      <c r="E4">
        <v>51.8</v>
      </c>
      <c r="F4">
        <v>9.2399999999999996E-2</v>
      </c>
      <c r="G4">
        <v>87310.1</v>
      </c>
      <c r="H4">
        <v>8.3000000000000004E-2</v>
      </c>
      <c r="I4">
        <v>4.0000000000000001E-3</v>
      </c>
      <c r="J4">
        <v>7596.11</v>
      </c>
      <c r="K4">
        <v>136.1</v>
      </c>
      <c r="L4" s="4">
        <v>0.56000000000000005</v>
      </c>
      <c r="M4">
        <v>8.9</v>
      </c>
      <c r="N4">
        <v>6</v>
      </c>
    </row>
    <row r="5" spans="1:14" x14ac:dyDescent="0.2">
      <c r="A5" t="s">
        <v>21</v>
      </c>
      <c r="B5">
        <v>4</v>
      </c>
      <c r="C5" s="8" t="s">
        <v>44</v>
      </c>
      <c r="D5">
        <v>2013</v>
      </c>
      <c r="E5">
        <v>96.9</v>
      </c>
      <c r="F5">
        <v>0.27600000000000002</v>
      </c>
      <c r="G5">
        <v>18945.8</v>
      </c>
      <c r="H5">
        <v>0.107</v>
      </c>
      <c r="I5">
        <v>4.0000000000000001E-3</v>
      </c>
      <c r="J5">
        <v>16779.900000000001</v>
      </c>
      <c r="K5">
        <v>130.4</v>
      </c>
      <c r="L5" s="2">
        <v>1.04</v>
      </c>
      <c r="M5">
        <v>-4.0999999999999996</v>
      </c>
      <c r="N5">
        <v>9</v>
      </c>
    </row>
    <row r="6" spans="1:14" x14ac:dyDescent="0.2">
      <c r="A6" t="s">
        <v>11</v>
      </c>
      <c r="B6">
        <v>5</v>
      </c>
      <c r="C6" s="8" t="s">
        <v>43</v>
      </c>
      <c r="D6">
        <v>2013</v>
      </c>
      <c r="E6">
        <v>73.599999999999994</v>
      </c>
      <c r="F6">
        <v>0.1681</v>
      </c>
      <c r="G6">
        <v>235367.1</v>
      </c>
      <c r="H6">
        <v>4.4999999999999998E-2</v>
      </c>
      <c r="I6">
        <v>1.4E-2</v>
      </c>
      <c r="J6">
        <f>J23</f>
        <v>24225.61</v>
      </c>
      <c r="K6">
        <v>225.2</v>
      </c>
      <c r="L6" s="2">
        <v>0.75</v>
      </c>
      <c r="M6">
        <v>-0.2</v>
      </c>
      <c r="N6">
        <v>9</v>
      </c>
    </row>
    <row r="7" spans="1:14" x14ac:dyDescent="0.2">
      <c r="A7" t="s">
        <v>13</v>
      </c>
      <c r="B7">
        <v>6</v>
      </c>
      <c r="C7" s="8" t="s">
        <v>49</v>
      </c>
      <c r="D7">
        <v>2013</v>
      </c>
      <c r="E7">
        <v>104.9</v>
      </c>
      <c r="F7">
        <v>0.29189999999999999</v>
      </c>
      <c r="G7">
        <v>2671237.9</v>
      </c>
      <c r="H7">
        <v>3.3000000000000002E-2</v>
      </c>
      <c r="I7">
        <v>1.6E-2</v>
      </c>
      <c r="J7">
        <v>19542.97</v>
      </c>
      <c r="K7">
        <v>30.5</v>
      </c>
      <c r="L7" s="2">
        <v>1.1499999999999999</v>
      </c>
      <c r="M7">
        <v>2.2999999999999998</v>
      </c>
      <c r="N7">
        <v>55</v>
      </c>
    </row>
    <row r="8" spans="1:14" x14ac:dyDescent="0.2">
      <c r="A8" t="s">
        <v>12</v>
      </c>
      <c r="B8">
        <v>7</v>
      </c>
      <c r="C8" s="8" t="s">
        <v>45</v>
      </c>
      <c r="D8">
        <v>2013</v>
      </c>
      <c r="E8">
        <v>142.6</v>
      </c>
      <c r="F8">
        <v>0.3</v>
      </c>
      <c r="G8">
        <v>189957.7</v>
      </c>
      <c r="H8">
        <v>0.05</v>
      </c>
      <c r="I8">
        <v>5.0000000000000001E-3</v>
      </c>
      <c r="J8">
        <v>71088.850000000006</v>
      </c>
      <c r="K8">
        <v>67.3</v>
      </c>
      <c r="L8" s="4">
        <v>1.1299999999999999</v>
      </c>
      <c r="M8">
        <v>0.3</v>
      </c>
      <c r="N8">
        <v>40</v>
      </c>
    </row>
    <row r="9" spans="1:14" x14ac:dyDescent="0.2">
      <c r="A9" t="s">
        <v>34</v>
      </c>
      <c r="B9">
        <v>8</v>
      </c>
      <c r="C9" s="8" t="s">
        <v>47</v>
      </c>
      <c r="D9">
        <v>2013</v>
      </c>
      <c r="E9">
        <v>125</v>
      </c>
      <c r="F9">
        <v>0.1578</v>
      </c>
      <c r="G9">
        <v>162240.79999999999</v>
      </c>
      <c r="H9">
        <v>5.4000000000000013E-2</v>
      </c>
      <c r="I9">
        <v>2.1999999999999999E-2</v>
      </c>
      <c r="J9">
        <v>19714.59</v>
      </c>
      <c r="K9">
        <v>83.6</v>
      </c>
      <c r="L9" s="4">
        <v>1.1499999999999999</v>
      </c>
      <c r="M9">
        <v>1.4</v>
      </c>
      <c r="N9">
        <v>18</v>
      </c>
    </row>
    <row r="10" spans="1:14" x14ac:dyDescent="0.2">
      <c r="A10" t="s">
        <v>18</v>
      </c>
      <c r="B10">
        <v>9</v>
      </c>
      <c r="C10" s="8" t="s">
        <v>48</v>
      </c>
      <c r="D10">
        <v>2013</v>
      </c>
      <c r="E10">
        <v>111.9</v>
      </c>
      <c r="F10">
        <v>0.15240000000000001</v>
      </c>
      <c r="G10">
        <v>1885679.1</v>
      </c>
      <c r="H10">
        <v>6.6000000000000003E-2</v>
      </c>
      <c r="I10">
        <v>0.01</v>
      </c>
      <c r="J10">
        <v>61940.14</v>
      </c>
      <c r="K10">
        <v>93.2</v>
      </c>
      <c r="L10" s="4">
        <v>0.97</v>
      </c>
      <c r="M10">
        <v>1.3</v>
      </c>
      <c r="N10">
        <v>55</v>
      </c>
    </row>
    <row r="11" spans="1:14" x14ac:dyDescent="0.2">
      <c r="A11" t="s">
        <v>14</v>
      </c>
      <c r="B11">
        <v>10</v>
      </c>
      <c r="C11" s="8" t="s">
        <v>46</v>
      </c>
      <c r="D11">
        <v>2013</v>
      </c>
      <c r="E11">
        <v>75.5</v>
      </c>
      <c r="F11">
        <v>0.1351</v>
      </c>
      <c r="G11">
        <v>26477</v>
      </c>
      <c r="H11">
        <v>5.8999999999999997E-2</v>
      </c>
      <c r="I11">
        <v>3.2000000000000001E-2</v>
      </c>
      <c r="J11">
        <v>55466.16</v>
      </c>
      <c r="K11">
        <v>103.4</v>
      </c>
      <c r="L11" s="4">
        <v>0.9</v>
      </c>
      <c r="M11">
        <v>4.9000000000000004</v>
      </c>
      <c r="N11">
        <v>9</v>
      </c>
    </row>
    <row r="12" spans="1:14" x14ac:dyDescent="0.2">
      <c r="A12" t="s">
        <v>16</v>
      </c>
      <c r="B12">
        <v>11</v>
      </c>
      <c r="C12" s="8" t="s">
        <v>50</v>
      </c>
      <c r="D12">
        <v>2013</v>
      </c>
      <c r="E12">
        <v>96.2</v>
      </c>
      <c r="F12">
        <v>0.15629999999999999</v>
      </c>
      <c r="G12">
        <v>203654.9</v>
      </c>
      <c r="H12">
        <v>0.16400000000000001</v>
      </c>
      <c r="I12">
        <v>-9.0000000000000011E-3</v>
      </c>
      <c r="J12">
        <v>59427.97</v>
      </c>
      <c r="K12">
        <v>75.400000000000006</v>
      </c>
      <c r="L12" s="4">
        <v>0.78</v>
      </c>
      <c r="M12">
        <v>-6.3</v>
      </c>
      <c r="N12">
        <v>32</v>
      </c>
    </row>
    <row r="13" spans="1:14" x14ac:dyDescent="0.2">
      <c r="A13" t="s">
        <v>17</v>
      </c>
      <c r="B13">
        <v>12</v>
      </c>
      <c r="C13" s="8" t="s">
        <v>64</v>
      </c>
      <c r="D13">
        <v>2013</v>
      </c>
      <c r="E13">
        <v>99.2</v>
      </c>
      <c r="F13">
        <v>0.2228</v>
      </c>
      <c r="G13">
        <v>1097105.3999999999</v>
      </c>
      <c r="H13">
        <v>0.17299999999999999</v>
      </c>
      <c r="I13">
        <v>1.4999999999999999E-2</v>
      </c>
      <c r="J13">
        <v>33939.78</v>
      </c>
      <c r="K13">
        <v>201.8</v>
      </c>
      <c r="L13" s="2">
        <v>0.9</v>
      </c>
      <c r="M13">
        <v>-0.4</v>
      </c>
      <c r="N13">
        <v>27</v>
      </c>
    </row>
    <row r="14" spans="1:14" x14ac:dyDescent="0.2">
      <c r="A14" t="s">
        <v>15</v>
      </c>
      <c r="B14">
        <v>13</v>
      </c>
      <c r="C14" s="8" t="s">
        <v>52</v>
      </c>
      <c r="D14">
        <v>2013</v>
      </c>
      <c r="E14">
        <v>121.9</v>
      </c>
      <c r="F14">
        <v>0.22950000000000001</v>
      </c>
      <c r="G14">
        <v>163000.20000000001</v>
      </c>
      <c r="H14">
        <v>9.0999999999999998E-2</v>
      </c>
      <c r="I14">
        <v>5.0000000000000001E-3</v>
      </c>
      <c r="J14">
        <v>14833.81</v>
      </c>
      <c r="K14">
        <v>93.8</v>
      </c>
      <c r="L14" s="2">
        <v>1.36</v>
      </c>
      <c r="M14">
        <v>-0.2</v>
      </c>
      <c r="N14">
        <v>40</v>
      </c>
    </row>
    <row r="15" spans="1:14" x14ac:dyDescent="0.2">
      <c r="A15" t="s">
        <v>26</v>
      </c>
      <c r="B15">
        <v>14</v>
      </c>
      <c r="C15" s="8" t="s">
        <v>57</v>
      </c>
      <c r="D15">
        <v>2013</v>
      </c>
      <c r="E15">
        <v>81.400000000000006</v>
      </c>
      <c r="F15">
        <v>0.16639999999999999</v>
      </c>
      <c r="G15">
        <v>10161.200000000001</v>
      </c>
      <c r="H15">
        <v>3.5999999999999997E-2</v>
      </c>
      <c r="I15">
        <v>0.01</v>
      </c>
      <c r="J15">
        <v>66182.559999999998</v>
      </c>
      <c r="K15">
        <v>32.700000000000003</v>
      </c>
      <c r="L15" s="4">
        <v>1.08</v>
      </c>
      <c r="M15">
        <v>0.7</v>
      </c>
      <c r="N15">
        <v>9</v>
      </c>
    </row>
    <row r="16" spans="1:14" x14ac:dyDescent="0.2">
      <c r="A16" t="s">
        <v>19</v>
      </c>
      <c r="B16">
        <v>15</v>
      </c>
      <c r="C16" s="8" t="s">
        <v>42</v>
      </c>
      <c r="D16">
        <v>2013</v>
      </c>
      <c r="E16">
        <v>71.099999999999994</v>
      </c>
      <c r="F16">
        <v>0.13719999999999999</v>
      </c>
      <c r="G16">
        <v>68554.899999999994</v>
      </c>
      <c r="H16">
        <v>9.6999999999999989E-2</v>
      </c>
      <c r="I16">
        <v>2.3E-2</v>
      </c>
      <c r="J16">
        <v>43358.61</v>
      </c>
      <c r="K16">
        <v>47.7</v>
      </c>
      <c r="L16" s="2">
        <v>0.71</v>
      </c>
      <c r="M16">
        <v>-3.1</v>
      </c>
      <c r="N16">
        <v>0</v>
      </c>
    </row>
    <row r="17" spans="1:14" x14ac:dyDescent="0.2">
      <c r="A17" t="s">
        <v>25</v>
      </c>
      <c r="B17">
        <v>16</v>
      </c>
      <c r="C17" s="8" t="s">
        <v>51</v>
      </c>
      <c r="D17">
        <v>2013</v>
      </c>
      <c r="E17">
        <v>62.6</v>
      </c>
      <c r="F17">
        <v>0.13969999999999999</v>
      </c>
      <c r="G17">
        <v>175246.1</v>
      </c>
      <c r="H17">
        <v>5.8000000000000003E-2</v>
      </c>
      <c r="I17">
        <v>1.7000000000000001E-2</v>
      </c>
      <c r="J17">
        <v>12441.56</v>
      </c>
      <c r="K17">
        <v>205.3</v>
      </c>
      <c r="L17" s="2">
        <v>0.61</v>
      </c>
      <c r="M17">
        <v>-0.7</v>
      </c>
      <c r="N17">
        <v>9</v>
      </c>
    </row>
    <row r="18" spans="1:14" x14ac:dyDescent="0.2">
      <c r="A18" t="s">
        <v>20</v>
      </c>
      <c r="B18">
        <v>17</v>
      </c>
      <c r="C18" s="8" t="s">
        <v>53</v>
      </c>
      <c r="D18">
        <v>2013</v>
      </c>
      <c r="E18">
        <v>104.7</v>
      </c>
      <c r="F18">
        <v>0.22919999999999999</v>
      </c>
      <c r="G18">
        <v>1587199.4</v>
      </c>
      <c r="H18">
        <v>6.8000000000000005E-2</v>
      </c>
      <c r="I18">
        <v>1.2E-2</v>
      </c>
      <c r="J18">
        <v>12066.17</v>
      </c>
      <c r="K18">
        <v>106.6</v>
      </c>
      <c r="L18" s="4">
        <v>0.97</v>
      </c>
      <c r="M18">
        <v>0.8</v>
      </c>
      <c r="N18">
        <v>55</v>
      </c>
    </row>
    <row r="19" spans="1:14" x14ac:dyDescent="0.2">
      <c r="A19" t="s">
        <v>27</v>
      </c>
      <c r="B19">
        <v>18</v>
      </c>
      <c r="C19" s="8" t="s">
        <v>58</v>
      </c>
      <c r="D19">
        <v>2013</v>
      </c>
      <c r="E19">
        <v>111.4</v>
      </c>
      <c r="F19">
        <v>0.1898</v>
      </c>
      <c r="G19">
        <v>601898.19999999995</v>
      </c>
      <c r="H19">
        <v>0.06</v>
      </c>
      <c r="I19">
        <v>2.5999999999999999E-2</v>
      </c>
      <c r="J19">
        <v>84962.73</v>
      </c>
      <c r="K19">
        <v>1329.2</v>
      </c>
      <c r="L19" s="2">
        <v>1.22</v>
      </c>
      <c r="M19">
        <v>0.7</v>
      </c>
      <c r="N19">
        <v>55</v>
      </c>
    </row>
    <row r="20" spans="1:14" x14ac:dyDescent="0.2">
      <c r="A20" t="s">
        <v>23</v>
      </c>
      <c r="B20">
        <v>19</v>
      </c>
      <c r="C20" s="8" t="s">
        <v>55</v>
      </c>
      <c r="D20">
        <v>2013</v>
      </c>
      <c r="E20">
        <v>65.5</v>
      </c>
      <c r="F20">
        <v>0.13700000000000001</v>
      </c>
      <c r="G20">
        <v>56778.2</v>
      </c>
      <c r="H20">
        <v>7.5999999999999998E-2</v>
      </c>
      <c r="I20">
        <v>1.2E-2</v>
      </c>
      <c r="J20">
        <v>34228.720000000001</v>
      </c>
      <c r="K20">
        <v>496.9</v>
      </c>
      <c r="L20" s="2">
        <v>0.84</v>
      </c>
      <c r="M20">
        <v>2.6</v>
      </c>
      <c r="N20">
        <v>9</v>
      </c>
    </row>
    <row r="21" spans="1:14" x14ac:dyDescent="0.2">
      <c r="A21" t="s">
        <v>24</v>
      </c>
      <c r="B21">
        <v>20</v>
      </c>
      <c r="C21" s="8" t="s">
        <v>56</v>
      </c>
      <c r="D21">
        <v>2013</v>
      </c>
      <c r="E21">
        <v>123</v>
      </c>
      <c r="F21">
        <v>0.16650000000000001</v>
      </c>
      <c r="G21">
        <v>39583.1</v>
      </c>
      <c r="H21">
        <v>3.7000000000000012E-2</v>
      </c>
      <c r="I21">
        <v>1.7000000000000001E-2</v>
      </c>
      <c r="J21">
        <v>69978.34</v>
      </c>
      <c r="K21">
        <v>102.3</v>
      </c>
      <c r="L21" s="4">
        <v>1.28</v>
      </c>
      <c r="M21">
        <v>1.8</v>
      </c>
      <c r="N21">
        <v>55</v>
      </c>
    </row>
    <row r="22" spans="1:14" x14ac:dyDescent="0.2">
      <c r="A22" t="s">
        <v>22</v>
      </c>
      <c r="B22">
        <v>21</v>
      </c>
      <c r="C22" s="8" t="s">
        <v>54</v>
      </c>
      <c r="D22">
        <v>2013</v>
      </c>
      <c r="E22">
        <v>73.900000000000006</v>
      </c>
      <c r="F22">
        <v>0.13780000000000001</v>
      </c>
      <c r="G22">
        <v>31742.7</v>
      </c>
      <c r="H22">
        <v>7.9000000000000001E-2</v>
      </c>
      <c r="I22">
        <v>0</v>
      </c>
      <c r="J22">
        <v>15462.31</v>
      </c>
      <c r="K22">
        <v>124.3</v>
      </c>
      <c r="L22" s="4">
        <v>0.83</v>
      </c>
      <c r="M22">
        <v>5.9</v>
      </c>
      <c r="N22">
        <v>9</v>
      </c>
    </row>
    <row r="23" spans="1:14" x14ac:dyDescent="0.2">
      <c r="A23" t="s">
        <v>29</v>
      </c>
      <c r="B23">
        <v>22</v>
      </c>
      <c r="C23" s="8" t="s">
        <v>59</v>
      </c>
      <c r="D23">
        <v>2013</v>
      </c>
      <c r="E23">
        <v>57.6</v>
      </c>
      <c r="F23">
        <v>0.14799999999999999</v>
      </c>
      <c r="G23">
        <v>670902.9</v>
      </c>
      <c r="H23">
        <v>6.3E-2</v>
      </c>
      <c r="I23">
        <v>8.0000000000000002E-3</v>
      </c>
      <c r="J23">
        <v>24225.61</v>
      </c>
      <c r="K23">
        <v>114</v>
      </c>
      <c r="L23" s="2">
        <v>0.68</v>
      </c>
      <c r="M23">
        <v>0.9</v>
      </c>
      <c r="N23">
        <v>9</v>
      </c>
    </row>
    <row r="24" spans="1:14" x14ac:dyDescent="0.2">
      <c r="A24" t="s">
        <v>30</v>
      </c>
      <c r="B24">
        <v>23</v>
      </c>
      <c r="C24" s="8" t="s">
        <v>60</v>
      </c>
      <c r="D24">
        <v>2013</v>
      </c>
      <c r="E24">
        <v>87</v>
      </c>
      <c r="F24">
        <v>0.20810000000000001</v>
      </c>
      <c r="G24">
        <v>211093.3</v>
      </c>
      <c r="H24">
        <v>0.108</v>
      </c>
      <c r="I24">
        <v>4.0000000000000001E-3</v>
      </c>
      <c r="J24">
        <v>8945.8799999999992</v>
      </c>
      <c r="K24">
        <v>87.1</v>
      </c>
      <c r="L24" s="4">
        <v>0.82</v>
      </c>
      <c r="M24">
        <v>1.3</v>
      </c>
      <c r="N24">
        <v>27</v>
      </c>
    </row>
    <row r="25" spans="1:14" x14ac:dyDescent="0.2">
      <c r="A25" t="s">
        <v>31</v>
      </c>
      <c r="B25">
        <v>24</v>
      </c>
      <c r="C25" s="8" t="s">
        <v>61</v>
      </c>
      <c r="D25">
        <v>2013</v>
      </c>
      <c r="E25">
        <v>53</v>
      </c>
      <c r="F25">
        <v>0.1323</v>
      </c>
      <c r="G25">
        <v>283846</v>
      </c>
      <c r="H25">
        <v>4.7E-2</v>
      </c>
      <c r="I25">
        <v>3.2000000000000001E-2</v>
      </c>
      <c r="J25">
        <v>16936.849999999999</v>
      </c>
      <c r="K25">
        <v>102.2</v>
      </c>
      <c r="L25" s="2">
        <v>0.56999999999999995</v>
      </c>
      <c r="M25">
        <v>3.7</v>
      </c>
      <c r="N25">
        <v>6</v>
      </c>
    </row>
    <row r="26" spans="1:14" x14ac:dyDescent="0.2">
      <c r="A26" t="s">
        <v>35</v>
      </c>
      <c r="B26">
        <v>25</v>
      </c>
      <c r="C26" s="8" t="s">
        <v>65</v>
      </c>
      <c r="D26">
        <v>2013</v>
      </c>
      <c r="E26">
        <v>130</v>
      </c>
      <c r="F26">
        <v>0.21010000000000001</v>
      </c>
      <c r="G26">
        <v>319444.09999999998</v>
      </c>
      <c r="H26">
        <v>5.8000000000000003E-2</v>
      </c>
      <c r="I26">
        <v>4.0000000000000001E-3</v>
      </c>
      <c r="J26">
        <v>25855.18</v>
      </c>
      <c r="K26">
        <v>110.3</v>
      </c>
      <c r="L26" s="2">
        <v>1.18</v>
      </c>
      <c r="M26">
        <v>1.6</v>
      </c>
      <c r="N26">
        <v>18</v>
      </c>
    </row>
    <row r="27" spans="1:14" x14ac:dyDescent="0.2">
      <c r="A27" t="s">
        <v>32</v>
      </c>
      <c r="B27">
        <v>26</v>
      </c>
      <c r="C27" s="8" t="s">
        <v>63</v>
      </c>
      <c r="D27">
        <v>2013</v>
      </c>
      <c r="E27">
        <v>85.6</v>
      </c>
      <c r="F27">
        <v>0.161</v>
      </c>
      <c r="G27">
        <v>44062.8</v>
      </c>
      <c r="H27">
        <v>6.3E-2</v>
      </c>
      <c r="I27">
        <v>1.9E-2</v>
      </c>
      <c r="J27">
        <v>41083.089999999997</v>
      </c>
      <c r="K27">
        <v>17.8</v>
      </c>
      <c r="L27" s="4">
        <v>0.85</v>
      </c>
      <c r="M27">
        <v>0.1</v>
      </c>
      <c r="N27">
        <v>9</v>
      </c>
    </row>
    <row r="28" spans="1:14" x14ac:dyDescent="0.2">
      <c r="A28" t="s">
        <v>33</v>
      </c>
      <c r="B28">
        <v>27</v>
      </c>
      <c r="C28" s="8" t="s">
        <v>62</v>
      </c>
      <c r="D28">
        <v>2013</v>
      </c>
      <c r="E28">
        <v>71.900000000000006</v>
      </c>
      <c r="F28">
        <v>0.16980000000000001</v>
      </c>
      <c r="G28">
        <v>109703.3</v>
      </c>
      <c r="H28">
        <v>9.1999999999999998E-2</v>
      </c>
      <c r="I28">
        <v>1.4999999999999999E-2</v>
      </c>
      <c r="J28">
        <v>72067.73</v>
      </c>
      <c r="K28">
        <v>23.4</v>
      </c>
      <c r="L28" s="2">
        <v>0.63</v>
      </c>
      <c r="M28">
        <v>1.1000000000000001</v>
      </c>
      <c r="N28">
        <v>9</v>
      </c>
    </row>
    <row r="29" spans="1:14" x14ac:dyDescent="0.2">
      <c r="A29" t="s">
        <v>28</v>
      </c>
      <c r="B29">
        <v>1</v>
      </c>
      <c r="C29" s="8" t="s">
        <v>39</v>
      </c>
      <c r="D29">
        <v>2014</v>
      </c>
      <c r="E29">
        <v>108.5</v>
      </c>
      <c r="F29">
        <v>0.2021</v>
      </c>
      <c r="G29">
        <v>296209.40000000002</v>
      </c>
      <c r="H29">
        <v>0.04</v>
      </c>
      <c r="I29">
        <v>1.4999999999999999E-2</v>
      </c>
      <c r="J29">
        <v>61122.86</v>
      </c>
      <c r="K29">
        <v>368</v>
      </c>
      <c r="L29" s="4">
        <v>0.96</v>
      </c>
      <c r="M29">
        <v>1.7</v>
      </c>
      <c r="N29">
        <v>19</v>
      </c>
    </row>
    <row r="30" spans="1:14" x14ac:dyDescent="0.2">
      <c r="A30" t="s">
        <v>9</v>
      </c>
      <c r="B30">
        <v>2</v>
      </c>
      <c r="C30" s="8" t="s">
        <v>40</v>
      </c>
      <c r="D30">
        <v>2014</v>
      </c>
      <c r="E30">
        <v>111.8</v>
      </c>
      <c r="F30">
        <v>0.2097</v>
      </c>
      <c r="G30">
        <v>362722.9</v>
      </c>
      <c r="H30">
        <v>5.1999999999999998E-2</v>
      </c>
      <c r="I30">
        <v>5.0000000000000001E-3</v>
      </c>
      <c r="J30">
        <v>58619.59</v>
      </c>
      <c r="K30">
        <v>66.7</v>
      </c>
      <c r="L30" s="2">
        <v>1.07</v>
      </c>
      <c r="M30">
        <v>-0.4</v>
      </c>
      <c r="N30">
        <v>56</v>
      </c>
    </row>
    <row r="31" spans="1:14" x14ac:dyDescent="0.2">
      <c r="A31" t="s">
        <v>10</v>
      </c>
      <c r="B31">
        <v>3</v>
      </c>
      <c r="C31" s="8" t="s">
        <v>41</v>
      </c>
      <c r="D31">
        <v>2014</v>
      </c>
      <c r="E31">
        <v>50.8</v>
      </c>
      <c r="F31">
        <v>8.3199999999999996E-2</v>
      </c>
      <c r="G31">
        <v>91213.9</v>
      </c>
      <c r="H31">
        <v>7.400000000000001E-2</v>
      </c>
      <c r="I31">
        <v>-1.6E-2</v>
      </c>
      <c r="J31">
        <v>8067.46</v>
      </c>
      <c r="K31">
        <v>136.1</v>
      </c>
      <c r="L31" s="4">
        <v>0.57999999999999996</v>
      </c>
      <c r="M31">
        <v>5</v>
      </c>
      <c r="N31">
        <v>7</v>
      </c>
    </row>
    <row r="32" spans="1:14" x14ac:dyDescent="0.2">
      <c r="A32" t="s">
        <v>21</v>
      </c>
      <c r="B32">
        <v>4</v>
      </c>
      <c r="C32" s="8" t="s">
        <v>44</v>
      </c>
      <c r="D32">
        <v>2014</v>
      </c>
      <c r="E32">
        <v>96</v>
      </c>
      <c r="F32">
        <v>0.2291</v>
      </c>
      <c r="G32">
        <v>18435.599999999999</v>
      </c>
      <c r="H32">
        <v>0.11</v>
      </c>
      <c r="I32">
        <v>-3.0000000000000001E-3</v>
      </c>
      <c r="J32">
        <v>16853.599999999999</v>
      </c>
      <c r="K32">
        <v>130.80000000000001</v>
      </c>
      <c r="L32" s="2">
        <v>1.07</v>
      </c>
      <c r="M32">
        <v>-3.5</v>
      </c>
      <c r="N32">
        <v>10</v>
      </c>
    </row>
    <row r="33" spans="1:14" x14ac:dyDescent="0.2">
      <c r="A33" t="s">
        <v>11</v>
      </c>
      <c r="B33">
        <v>5</v>
      </c>
      <c r="C33" s="8" t="s">
        <v>43</v>
      </c>
      <c r="D33">
        <v>2014</v>
      </c>
      <c r="E33">
        <v>70.099999999999994</v>
      </c>
      <c r="F33">
        <v>0.13880000000000001</v>
      </c>
      <c r="G33">
        <v>247020.3</v>
      </c>
      <c r="H33">
        <v>3.9E-2</v>
      </c>
      <c r="I33">
        <v>4.0000000000000001E-3</v>
      </c>
      <c r="J33">
        <v>38952.93</v>
      </c>
      <c r="K33">
        <v>225.8</v>
      </c>
      <c r="L33" s="2">
        <v>0.76</v>
      </c>
      <c r="M33">
        <v>1.2</v>
      </c>
      <c r="N33">
        <v>10</v>
      </c>
    </row>
    <row r="34" spans="1:14" x14ac:dyDescent="0.2">
      <c r="A34" t="s">
        <v>13</v>
      </c>
      <c r="B34">
        <v>6</v>
      </c>
      <c r="C34" s="8" t="s">
        <v>49</v>
      </c>
      <c r="D34">
        <v>2014</v>
      </c>
      <c r="E34">
        <v>106.1</v>
      </c>
      <c r="F34">
        <v>0.29809999999999998</v>
      </c>
      <c r="G34">
        <v>2782596.9</v>
      </c>
      <c r="H34">
        <v>3.2000000000000001E-2</v>
      </c>
      <c r="I34">
        <v>8.0000000000000002E-3</v>
      </c>
      <c r="J34">
        <v>18895.14</v>
      </c>
      <c r="K34">
        <v>30.3</v>
      </c>
      <c r="L34" s="2">
        <v>1.1299999999999999</v>
      </c>
      <c r="M34">
        <v>1.4</v>
      </c>
      <c r="N34">
        <v>56</v>
      </c>
    </row>
    <row r="35" spans="1:14" x14ac:dyDescent="0.2">
      <c r="A35" t="s">
        <v>12</v>
      </c>
      <c r="B35">
        <v>7</v>
      </c>
      <c r="C35" s="8" t="s">
        <v>45</v>
      </c>
      <c r="D35">
        <v>2014</v>
      </c>
      <c r="E35">
        <v>142.19999999999999</v>
      </c>
      <c r="F35">
        <v>0.30420000000000003</v>
      </c>
      <c r="G35">
        <v>193672.4</v>
      </c>
      <c r="H35">
        <v>4.7E-2</v>
      </c>
      <c r="I35">
        <v>4.0000000000000001E-3</v>
      </c>
      <c r="J35">
        <v>72084.58</v>
      </c>
      <c r="K35">
        <v>67.599999999999994</v>
      </c>
      <c r="L35" s="4">
        <v>1.17</v>
      </c>
      <c r="M35">
        <v>0.8</v>
      </c>
      <c r="N35">
        <v>41</v>
      </c>
    </row>
    <row r="36" spans="1:14" x14ac:dyDescent="0.2">
      <c r="A36" t="s">
        <v>34</v>
      </c>
      <c r="B36">
        <v>8</v>
      </c>
      <c r="C36" s="8" t="s">
        <v>47</v>
      </c>
      <c r="D36">
        <v>2014</v>
      </c>
      <c r="E36">
        <v>126.1</v>
      </c>
      <c r="F36">
        <v>0.15629999999999999</v>
      </c>
      <c r="G36">
        <v>162638.70000000001</v>
      </c>
      <c r="H36">
        <v>5.7000000000000002E-2</v>
      </c>
      <c r="I36">
        <v>1.2E-2</v>
      </c>
      <c r="J36">
        <v>20653.099999999999</v>
      </c>
      <c r="K36">
        <v>83</v>
      </c>
      <c r="L36" s="4">
        <v>1.1499999999999999</v>
      </c>
      <c r="M36">
        <v>0.9</v>
      </c>
      <c r="N36">
        <v>19</v>
      </c>
    </row>
    <row r="37" spans="1:14" x14ac:dyDescent="0.2">
      <c r="A37" t="s">
        <v>18</v>
      </c>
      <c r="B37">
        <v>9</v>
      </c>
      <c r="C37" s="8" t="s">
        <v>48</v>
      </c>
      <c r="D37">
        <v>2014</v>
      </c>
      <c r="E37">
        <v>110.5</v>
      </c>
      <c r="F37">
        <v>0.1585</v>
      </c>
      <c r="G37">
        <v>1911557.8</v>
      </c>
      <c r="H37">
        <v>6.5000000000000002E-2</v>
      </c>
      <c r="I37">
        <v>6.0000000000000001E-3</v>
      </c>
      <c r="J37">
        <v>61914.6</v>
      </c>
      <c r="K37">
        <v>92.9</v>
      </c>
      <c r="L37" s="4">
        <v>0.98</v>
      </c>
      <c r="M37">
        <v>0.7</v>
      </c>
      <c r="N37">
        <v>56</v>
      </c>
    </row>
    <row r="38" spans="1:14" x14ac:dyDescent="0.2">
      <c r="A38" t="s">
        <v>14</v>
      </c>
      <c r="B38">
        <v>10</v>
      </c>
      <c r="C38" s="8" t="s">
        <v>46</v>
      </c>
      <c r="D38">
        <v>2014</v>
      </c>
      <c r="E38">
        <v>76.8</v>
      </c>
      <c r="F38">
        <v>0.13070000000000001</v>
      </c>
      <c r="G38">
        <v>27704.400000000001</v>
      </c>
      <c r="H38">
        <v>0.05</v>
      </c>
      <c r="I38">
        <v>5.0000000000000001E-3</v>
      </c>
      <c r="J38">
        <v>56178.45</v>
      </c>
      <c r="K38">
        <v>103.9</v>
      </c>
      <c r="L38" s="4">
        <v>0.92</v>
      </c>
      <c r="M38">
        <v>3.8</v>
      </c>
      <c r="N38">
        <v>10</v>
      </c>
    </row>
    <row r="39" spans="1:14" x14ac:dyDescent="0.2">
      <c r="A39" t="s">
        <v>16</v>
      </c>
      <c r="B39">
        <v>11</v>
      </c>
      <c r="C39" s="8" t="s">
        <v>50</v>
      </c>
      <c r="D39">
        <v>2014</v>
      </c>
      <c r="E39">
        <v>92.4</v>
      </c>
      <c r="F39">
        <v>0.1767</v>
      </c>
      <c r="G39">
        <v>206502</v>
      </c>
      <c r="H39">
        <v>0.157</v>
      </c>
      <c r="I39">
        <v>-1.4E-2</v>
      </c>
      <c r="J39">
        <v>60720.55</v>
      </c>
      <c r="K39">
        <v>75.2</v>
      </c>
      <c r="L39" s="4">
        <v>0.77</v>
      </c>
      <c r="M39">
        <v>-2.5</v>
      </c>
      <c r="N39">
        <v>33</v>
      </c>
    </row>
    <row r="40" spans="1:14" x14ac:dyDescent="0.2">
      <c r="A40" t="s">
        <v>17</v>
      </c>
      <c r="B40">
        <v>12</v>
      </c>
      <c r="C40" s="8" t="s">
        <v>64</v>
      </c>
      <c r="D40">
        <v>2014</v>
      </c>
      <c r="E40">
        <v>97.3</v>
      </c>
      <c r="F40">
        <v>0.2165</v>
      </c>
      <c r="G40">
        <v>1124274.7</v>
      </c>
      <c r="H40">
        <v>0.16</v>
      </c>
      <c r="I40">
        <v>-2E-3</v>
      </c>
      <c r="J40">
        <v>34510.379999999997</v>
      </c>
      <c r="K40">
        <v>199.4</v>
      </c>
      <c r="L40" s="2">
        <v>0.92</v>
      </c>
      <c r="M40">
        <v>-0.1</v>
      </c>
      <c r="N40">
        <v>28</v>
      </c>
    </row>
    <row r="41" spans="1:14" x14ac:dyDescent="0.2">
      <c r="A41" t="s">
        <v>15</v>
      </c>
      <c r="B41">
        <v>13</v>
      </c>
      <c r="C41" s="8" t="s">
        <v>52</v>
      </c>
      <c r="D41">
        <v>2014</v>
      </c>
      <c r="E41">
        <v>124</v>
      </c>
      <c r="F41">
        <v>0.2407</v>
      </c>
      <c r="G41">
        <v>175738.6</v>
      </c>
      <c r="H41">
        <v>7.8E-2</v>
      </c>
      <c r="I41">
        <v>3.0000000000000001E-3</v>
      </c>
      <c r="J41">
        <v>14768.25</v>
      </c>
      <c r="K41">
        <v>93.5</v>
      </c>
      <c r="L41" s="2">
        <v>1.41</v>
      </c>
      <c r="M41">
        <v>-5.0999999999999996</v>
      </c>
      <c r="N41">
        <v>41</v>
      </c>
    </row>
    <row r="42" spans="1:14" x14ac:dyDescent="0.2">
      <c r="A42" t="s">
        <v>26</v>
      </c>
      <c r="B42">
        <v>14</v>
      </c>
      <c r="C42" s="8" t="s">
        <v>57</v>
      </c>
      <c r="D42">
        <v>2014</v>
      </c>
      <c r="E42">
        <v>83.7</v>
      </c>
      <c r="F42">
        <v>0.1474</v>
      </c>
      <c r="G42">
        <v>10938.4</v>
      </c>
      <c r="H42">
        <v>3.4000000000000002E-2</v>
      </c>
      <c r="I42">
        <v>8.0000000000000002E-3</v>
      </c>
      <c r="J42">
        <v>66494.77</v>
      </c>
      <c r="K42">
        <v>32.4</v>
      </c>
      <c r="L42" s="4">
        <v>1.1100000000000001</v>
      </c>
      <c r="M42">
        <v>0.2</v>
      </c>
      <c r="N42">
        <v>10</v>
      </c>
    </row>
    <row r="43" spans="1:14" x14ac:dyDescent="0.2">
      <c r="A43" t="s">
        <v>19</v>
      </c>
      <c r="B43">
        <v>15</v>
      </c>
      <c r="C43" s="8" t="s">
        <v>42</v>
      </c>
      <c r="D43">
        <v>2014</v>
      </c>
      <c r="E43">
        <v>70</v>
      </c>
      <c r="F43">
        <v>0.13120000000000001</v>
      </c>
      <c r="G43">
        <v>68386.3</v>
      </c>
      <c r="H43">
        <v>0.1</v>
      </c>
      <c r="I43">
        <v>2E-3</v>
      </c>
      <c r="J43">
        <v>43897.95</v>
      </c>
      <c r="K43">
        <v>47.2</v>
      </c>
      <c r="L43" s="2">
        <v>0.72</v>
      </c>
      <c r="M43">
        <v>-1.7</v>
      </c>
      <c r="N43">
        <v>1</v>
      </c>
    </row>
    <row r="44" spans="1:14" x14ac:dyDescent="0.2">
      <c r="A44" t="s">
        <v>25</v>
      </c>
      <c r="B44">
        <v>16</v>
      </c>
      <c r="C44" s="8" t="s">
        <v>51</v>
      </c>
      <c r="D44">
        <v>2014</v>
      </c>
      <c r="E44">
        <v>61.1</v>
      </c>
      <c r="F44">
        <v>0.1202</v>
      </c>
      <c r="G44">
        <v>181808.3</v>
      </c>
      <c r="H44">
        <v>4.4999999999999998E-2</v>
      </c>
      <c r="I44">
        <v>0</v>
      </c>
      <c r="J44">
        <v>13752.2</v>
      </c>
      <c r="K44">
        <v>210.1</v>
      </c>
      <c r="L44" s="2">
        <v>0.63</v>
      </c>
      <c r="M44">
        <v>0.4</v>
      </c>
      <c r="N44">
        <v>10</v>
      </c>
    </row>
    <row r="45" spans="1:14" x14ac:dyDescent="0.2">
      <c r="A45" t="s">
        <v>20</v>
      </c>
      <c r="B45">
        <v>17</v>
      </c>
      <c r="C45" s="8" t="s">
        <v>53</v>
      </c>
      <c r="D45">
        <v>2014</v>
      </c>
      <c r="E45">
        <v>105.2</v>
      </c>
      <c r="F45">
        <v>0.24460000000000001</v>
      </c>
      <c r="G45">
        <v>1585253.6</v>
      </c>
      <c r="H45">
        <v>7.0999999999999994E-2</v>
      </c>
      <c r="I45">
        <v>2E-3</v>
      </c>
      <c r="J45">
        <v>12777.47</v>
      </c>
      <c r="K45">
        <v>106.4</v>
      </c>
      <c r="L45" s="5">
        <v>1</v>
      </c>
      <c r="M45">
        <v>0.2</v>
      </c>
      <c r="N45">
        <v>56</v>
      </c>
    </row>
    <row r="46" spans="1:14" x14ac:dyDescent="0.2">
      <c r="A46" t="s">
        <v>27</v>
      </c>
      <c r="B46">
        <v>18</v>
      </c>
      <c r="C46" s="8" t="s">
        <v>58</v>
      </c>
      <c r="D46">
        <v>2014</v>
      </c>
      <c r="E46">
        <v>112</v>
      </c>
      <c r="F46">
        <v>0.18410000000000001</v>
      </c>
      <c r="G46">
        <v>601395.80000000005</v>
      </c>
      <c r="H46">
        <v>6.0999999999999999E-2</v>
      </c>
      <c r="I46">
        <v>3.0000000000000001E-3</v>
      </c>
      <c r="J46">
        <v>86265.67</v>
      </c>
      <c r="K46">
        <v>1348</v>
      </c>
      <c r="L46" s="2">
        <v>1.22</v>
      </c>
      <c r="M46">
        <v>0.1</v>
      </c>
      <c r="N46">
        <v>56</v>
      </c>
    </row>
    <row r="47" spans="1:14" x14ac:dyDescent="0.2">
      <c r="A47" t="s">
        <v>23</v>
      </c>
      <c r="B47">
        <v>19</v>
      </c>
      <c r="C47" s="8" t="s">
        <v>55</v>
      </c>
      <c r="D47">
        <v>2014</v>
      </c>
      <c r="E47">
        <v>64.7</v>
      </c>
      <c r="F47">
        <v>0.13300000000000001</v>
      </c>
      <c r="G47">
        <v>58960.4</v>
      </c>
      <c r="H47">
        <v>7.0999999999999994E-2</v>
      </c>
      <c r="I47">
        <v>2E-3</v>
      </c>
      <c r="J47">
        <v>33650</v>
      </c>
      <c r="K47">
        <v>498.4</v>
      </c>
      <c r="L47" s="2">
        <v>0.82</v>
      </c>
      <c r="M47">
        <v>2.7</v>
      </c>
      <c r="N47">
        <v>10</v>
      </c>
    </row>
    <row r="48" spans="1:14" x14ac:dyDescent="0.2">
      <c r="A48" t="s">
        <v>24</v>
      </c>
      <c r="B48">
        <v>20</v>
      </c>
      <c r="C48" s="8" t="s">
        <v>56</v>
      </c>
      <c r="D48">
        <v>2014</v>
      </c>
      <c r="E48">
        <v>123.8</v>
      </c>
      <c r="F48">
        <v>0.17380000000000001</v>
      </c>
      <c r="G48">
        <v>41986.3</v>
      </c>
      <c r="H48">
        <v>3.7000000000000012E-2</v>
      </c>
      <c r="I48">
        <v>6.9999999999999993E-3</v>
      </c>
      <c r="J48">
        <v>71442.7</v>
      </c>
      <c r="K48">
        <v>102.9</v>
      </c>
      <c r="L48" s="4">
        <v>1.27</v>
      </c>
      <c r="M48">
        <v>2</v>
      </c>
      <c r="N48">
        <v>56</v>
      </c>
    </row>
    <row r="49" spans="1:14" x14ac:dyDescent="0.2">
      <c r="A49" t="s">
        <v>22</v>
      </c>
      <c r="B49">
        <v>21</v>
      </c>
      <c r="C49" s="8" t="s">
        <v>54</v>
      </c>
      <c r="D49">
        <v>2014</v>
      </c>
      <c r="E49">
        <v>72.5</v>
      </c>
      <c r="F49">
        <v>0.13650000000000001</v>
      </c>
      <c r="G49">
        <v>32830.699999999997</v>
      </c>
      <c r="H49">
        <v>7.2000000000000008E-2</v>
      </c>
      <c r="I49">
        <v>6.9999999999999993E-3</v>
      </c>
      <c r="J49">
        <v>16513.87</v>
      </c>
      <c r="K49">
        <v>124.2</v>
      </c>
      <c r="L49" s="4">
        <v>0.85</v>
      </c>
      <c r="M49">
        <v>4.5999999999999996</v>
      </c>
      <c r="N49">
        <v>10</v>
      </c>
    </row>
    <row r="50" spans="1:14" x14ac:dyDescent="0.2">
      <c r="A50" t="s">
        <v>29</v>
      </c>
      <c r="B50">
        <v>22</v>
      </c>
      <c r="C50" s="8" t="s">
        <v>59</v>
      </c>
      <c r="D50">
        <v>2014</v>
      </c>
      <c r="E50">
        <v>57.3</v>
      </c>
      <c r="F50">
        <v>0.1421</v>
      </c>
      <c r="G50">
        <v>693654.8</v>
      </c>
      <c r="H50">
        <v>5.5E-2</v>
      </c>
      <c r="I50">
        <v>1E-3</v>
      </c>
      <c r="J50">
        <v>24087.78</v>
      </c>
      <c r="K50">
        <v>113.4</v>
      </c>
      <c r="L50" s="2">
        <v>0.7</v>
      </c>
      <c r="M50">
        <v>0.1</v>
      </c>
      <c r="N50">
        <v>10</v>
      </c>
    </row>
    <row r="51" spans="1:14" x14ac:dyDescent="0.2">
      <c r="A51" t="s">
        <v>30</v>
      </c>
      <c r="B51">
        <f>B39+1</f>
        <v>12</v>
      </c>
      <c r="C51" s="8" t="s">
        <v>60</v>
      </c>
      <c r="D51">
        <v>2014</v>
      </c>
      <c r="E51">
        <v>85.3</v>
      </c>
      <c r="F51">
        <v>0.2175</v>
      </c>
      <c r="G51">
        <v>214440</v>
      </c>
      <c r="H51">
        <v>9.1999999999999998E-2</v>
      </c>
      <c r="I51">
        <v>-2E-3</v>
      </c>
      <c r="J51">
        <v>9477.15</v>
      </c>
      <c r="K51">
        <v>86.9</v>
      </c>
      <c r="L51" s="4">
        <v>0.85</v>
      </c>
      <c r="M51">
        <v>-1.2</v>
      </c>
      <c r="N51">
        <v>28</v>
      </c>
    </row>
    <row r="52" spans="1:14" x14ac:dyDescent="0.2">
      <c r="A52" t="s">
        <v>31</v>
      </c>
      <c r="B52">
        <v>24</v>
      </c>
      <c r="C52" s="8" t="s">
        <v>61</v>
      </c>
      <c r="D52">
        <v>2014</v>
      </c>
      <c r="E52">
        <v>54.7</v>
      </c>
      <c r="F52">
        <v>0.129</v>
      </c>
      <c r="G52">
        <v>294430.59999999998</v>
      </c>
      <c r="H52">
        <v>4.4999999999999998E-2</v>
      </c>
      <c r="I52">
        <v>1.4E-2</v>
      </c>
      <c r="J52">
        <v>17578.97</v>
      </c>
      <c r="K52">
        <v>102.3</v>
      </c>
      <c r="L52" s="2">
        <v>0.57999999999999996</v>
      </c>
      <c r="M52">
        <v>3.2</v>
      </c>
      <c r="N52">
        <v>7</v>
      </c>
    </row>
    <row r="53" spans="1:14" x14ac:dyDescent="0.2">
      <c r="A53" t="s">
        <v>35</v>
      </c>
      <c r="B53">
        <v>25</v>
      </c>
      <c r="C53" s="8" t="s">
        <v>65</v>
      </c>
      <c r="D53">
        <v>2014</v>
      </c>
      <c r="E53">
        <v>134.30000000000001</v>
      </c>
      <c r="F53">
        <v>0.19670000000000001</v>
      </c>
      <c r="G53">
        <v>325535.09999999998</v>
      </c>
      <c r="H53">
        <v>5.8000000000000003E-2</v>
      </c>
      <c r="I53">
        <v>2E-3</v>
      </c>
      <c r="J53">
        <v>26191.52</v>
      </c>
      <c r="K53">
        <v>110.4</v>
      </c>
      <c r="L53" s="2">
        <v>1.19</v>
      </c>
      <c r="M53">
        <v>1.5</v>
      </c>
      <c r="N53">
        <v>19</v>
      </c>
    </row>
    <row r="54" spans="1:14" x14ac:dyDescent="0.2">
      <c r="A54" t="s">
        <v>32</v>
      </c>
      <c r="B54">
        <v>26</v>
      </c>
      <c r="C54" s="8" t="s">
        <v>63</v>
      </c>
      <c r="D54">
        <v>2014</v>
      </c>
      <c r="E54">
        <v>85.4</v>
      </c>
      <c r="F54">
        <v>0.16300000000000001</v>
      </c>
      <c r="G54">
        <v>45183.5</v>
      </c>
      <c r="H54">
        <v>6.0999999999999999E-2</v>
      </c>
      <c r="I54">
        <v>4.0000000000000001E-3</v>
      </c>
      <c r="J54">
        <v>41298.25</v>
      </c>
      <c r="K54">
        <v>17.899999999999999</v>
      </c>
      <c r="L54" s="4">
        <v>0.86</v>
      </c>
      <c r="M54">
        <v>-0.8</v>
      </c>
      <c r="N54">
        <v>10</v>
      </c>
    </row>
    <row r="55" spans="1:14" x14ac:dyDescent="0.2">
      <c r="A55" t="s">
        <v>33</v>
      </c>
      <c r="B55">
        <v>27</v>
      </c>
      <c r="C55" s="8" t="s">
        <v>62</v>
      </c>
      <c r="D55">
        <v>2014</v>
      </c>
      <c r="E55">
        <v>70.599999999999994</v>
      </c>
      <c r="F55">
        <v>0.1507</v>
      </c>
      <c r="G55">
        <v>113051.5</v>
      </c>
      <c r="H55">
        <v>8.5000000000000006E-2</v>
      </c>
      <c r="I55">
        <v>-1E-3</v>
      </c>
      <c r="J55">
        <v>70814.09</v>
      </c>
      <c r="K55">
        <v>23.6</v>
      </c>
      <c r="L55" s="2">
        <v>0.64</v>
      </c>
      <c r="M55">
        <v>0.5</v>
      </c>
      <c r="N55">
        <v>10</v>
      </c>
    </row>
    <row r="56" spans="1:14" x14ac:dyDescent="0.2">
      <c r="A56" t="s">
        <v>28</v>
      </c>
      <c r="B56">
        <v>1</v>
      </c>
      <c r="C56" s="8" t="s">
        <v>39</v>
      </c>
      <c r="D56">
        <v>2015</v>
      </c>
      <c r="E56">
        <v>109.3</v>
      </c>
      <c r="F56">
        <v>0.2009</v>
      </c>
      <c r="G56">
        <v>307917.09999999998</v>
      </c>
      <c r="H56">
        <v>4.0999999999999988E-2</v>
      </c>
      <c r="I56">
        <v>8.0000000000000002E-3</v>
      </c>
      <c r="J56">
        <v>62307.65</v>
      </c>
      <c r="K56">
        <v>369.6</v>
      </c>
      <c r="L56" s="4">
        <v>0.96</v>
      </c>
      <c r="M56">
        <v>1.6</v>
      </c>
      <c r="N56">
        <v>20</v>
      </c>
    </row>
    <row r="57" spans="1:14" x14ac:dyDescent="0.2">
      <c r="A57" t="s">
        <v>9</v>
      </c>
      <c r="B57">
        <v>2</v>
      </c>
      <c r="C57" s="8" t="s">
        <v>40</v>
      </c>
      <c r="D57">
        <v>2015</v>
      </c>
      <c r="E57">
        <v>111.2</v>
      </c>
      <c r="F57">
        <v>0.21260000000000001</v>
      </c>
      <c r="G57">
        <v>373480.4</v>
      </c>
      <c r="H57">
        <v>5.1999999999999998E-2</v>
      </c>
      <c r="I57">
        <v>6.0000000000000001E-3</v>
      </c>
      <c r="J57">
        <v>58953.77</v>
      </c>
      <c r="K57">
        <v>66.3</v>
      </c>
      <c r="L57" s="2">
        <v>1.06</v>
      </c>
      <c r="M57">
        <v>-0.6</v>
      </c>
      <c r="N57">
        <v>57</v>
      </c>
    </row>
    <row r="58" spans="1:14" x14ac:dyDescent="0.2">
      <c r="A58" t="s">
        <v>10</v>
      </c>
      <c r="B58">
        <v>3</v>
      </c>
      <c r="C58" s="8" t="s">
        <v>41</v>
      </c>
      <c r="D58">
        <v>2015</v>
      </c>
      <c r="E58">
        <v>49.3</v>
      </c>
      <c r="F58">
        <v>9.4200000000000006E-2</v>
      </c>
      <c r="G58">
        <v>94893.4</v>
      </c>
      <c r="H58">
        <v>6.0999999999999999E-2</v>
      </c>
      <c r="I58">
        <v>-1.0999999999999999E-2</v>
      </c>
      <c r="J58">
        <v>8678.2900000000009</v>
      </c>
      <c r="K58">
        <v>136.30000000000001</v>
      </c>
      <c r="L58" s="4">
        <v>0.62</v>
      </c>
      <c r="M58">
        <v>2.6</v>
      </c>
      <c r="N58">
        <v>8</v>
      </c>
    </row>
    <row r="59" spans="1:14" x14ac:dyDescent="0.2">
      <c r="A59" t="s">
        <v>21</v>
      </c>
      <c r="B59">
        <v>4</v>
      </c>
      <c r="C59" s="8" t="s">
        <v>44</v>
      </c>
      <c r="D59">
        <v>2015</v>
      </c>
      <c r="E59">
        <v>94.7</v>
      </c>
      <c r="F59">
        <v>0.19570000000000001</v>
      </c>
      <c r="G59">
        <v>19456.400000000001</v>
      </c>
      <c r="H59">
        <v>0.1</v>
      </c>
      <c r="I59">
        <v>-1.4999999999999999E-2</v>
      </c>
      <c r="J59">
        <v>17546.759999999998</v>
      </c>
      <c r="K59">
        <v>131.5</v>
      </c>
      <c r="L59" s="2">
        <v>1.0900000000000001</v>
      </c>
      <c r="M59">
        <v>-3.4</v>
      </c>
      <c r="N59">
        <v>11</v>
      </c>
    </row>
    <row r="60" spans="1:14" x14ac:dyDescent="0.2">
      <c r="A60" t="s">
        <v>11</v>
      </c>
      <c r="B60">
        <v>5</v>
      </c>
      <c r="C60" s="8" t="s">
        <v>43</v>
      </c>
      <c r="D60">
        <v>2015</v>
      </c>
      <c r="E60">
        <v>65.400000000000006</v>
      </c>
      <c r="F60">
        <v>0.13850000000000001</v>
      </c>
      <c r="G60">
        <v>258524.5</v>
      </c>
      <c r="H60">
        <v>3.3000000000000002E-2</v>
      </c>
      <c r="I60">
        <v>3.0000000000000001E-3</v>
      </c>
      <c r="J60">
        <f>J48</f>
        <v>71442.7</v>
      </c>
      <c r="K60">
        <v>226.5</v>
      </c>
      <c r="L60" s="2">
        <v>0.78</v>
      </c>
      <c r="M60">
        <v>-0.2</v>
      </c>
      <c r="N60">
        <v>11</v>
      </c>
    </row>
    <row r="61" spans="1:14" x14ac:dyDescent="0.2">
      <c r="A61" t="s">
        <v>13</v>
      </c>
      <c r="B61">
        <v>6</v>
      </c>
      <c r="C61" s="8" t="s">
        <v>49</v>
      </c>
      <c r="D61">
        <v>2015</v>
      </c>
      <c r="E61">
        <v>106</v>
      </c>
      <c r="F61">
        <v>0.29509999999999997</v>
      </c>
      <c r="G61">
        <v>2851301.5</v>
      </c>
      <c r="H61">
        <v>2.9000000000000001E-2</v>
      </c>
      <c r="I61">
        <v>6.9999999999999993E-3</v>
      </c>
      <c r="J61">
        <v>19641.88</v>
      </c>
      <c r="K61">
        <v>30.3</v>
      </c>
      <c r="L61" s="2">
        <v>1.1000000000000001</v>
      </c>
      <c r="M61">
        <v>1.9</v>
      </c>
      <c r="N61">
        <v>57</v>
      </c>
    </row>
    <row r="62" spans="1:14" x14ac:dyDescent="0.2">
      <c r="A62" t="s">
        <v>12</v>
      </c>
      <c r="B62">
        <v>7</v>
      </c>
      <c r="C62" s="8" t="s">
        <v>45</v>
      </c>
      <c r="D62">
        <v>2015</v>
      </c>
      <c r="E62">
        <v>143.69999999999999</v>
      </c>
      <c r="F62">
        <v>0.30680000000000002</v>
      </c>
      <c r="G62">
        <v>199821.5</v>
      </c>
      <c r="H62">
        <v>4.2000000000000003E-2</v>
      </c>
      <c r="I62">
        <v>2E-3</v>
      </c>
      <c r="J62">
        <v>72810.09</v>
      </c>
      <c r="K62">
        <v>67.8</v>
      </c>
      <c r="L62" s="4">
        <v>1.18</v>
      </c>
      <c r="M62">
        <v>1.4</v>
      </c>
      <c r="N62">
        <v>42</v>
      </c>
    </row>
    <row r="63" spans="1:14" x14ac:dyDescent="0.2">
      <c r="A63" t="s">
        <v>34</v>
      </c>
      <c r="B63">
        <v>8</v>
      </c>
      <c r="C63" s="8" t="s">
        <v>47</v>
      </c>
      <c r="D63">
        <v>2015</v>
      </c>
      <c r="E63">
        <v>126.5</v>
      </c>
      <c r="F63">
        <v>0.1552</v>
      </c>
      <c r="G63">
        <v>166492.70000000001</v>
      </c>
      <c r="H63">
        <v>6.0999999999999999E-2</v>
      </c>
      <c r="I63">
        <v>-2E-3</v>
      </c>
      <c r="J63">
        <v>22726.43</v>
      </c>
      <c r="K63">
        <v>82.5</v>
      </c>
      <c r="L63" s="4">
        <v>1.1299999999999999</v>
      </c>
      <c r="M63">
        <v>0.8</v>
      </c>
      <c r="N63">
        <v>20</v>
      </c>
    </row>
    <row r="64" spans="1:14" x14ac:dyDescent="0.2">
      <c r="A64" t="s">
        <v>18</v>
      </c>
      <c r="B64">
        <v>9</v>
      </c>
      <c r="C64" s="8" t="s">
        <v>48</v>
      </c>
      <c r="D64">
        <v>2015</v>
      </c>
      <c r="E64">
        <v>111.1</v>
      </c>
      <c r="F64">
        <v>0.1676</v>
      </c>
      <c r="G64">
        <v>1957306</v>
      </c>
      <c r="H64">
        <v>6.5000000000000002E-2</v>
      </c>
      <c r="I64">
        <v>1E-3</v>
      </c>
      <c r="J64">
        <v>62322.22</v>
      </c>
      <c r="K64">
        <v>92.5</v>
      </c>
      <c r="L64" s="4">
        <v>0.98</v>
      </c>
      <c r="M64">
        <v>0.4</v>
      </c>
      <c r="N64">
        <v>57</v>
      </c>
    </row>
    <row r="65" spans="1:14" x14ac:dyDescent="0.2">
      <c r="A65" t="s">
        <v>14</v>
      </c>
      <c r="B65">
        <v>10</v>
      </c>
      <c r="C65" s="8" t="s">
        <v>46</v>
      </c>
      <c r="D65">
        <v>2015</v>
      </c>
      <c r="E65">
        <v>77.5</v>
      </c>
      <c r="F65">
        <v>0.13020000000000001</v>
      </c>
      <c r="G65">
        <v>28102.6</v>
      </c>
      <c r="H65">
        <v>4.4999999999999998E-2</v>
      </c>
      <c r="I65">
        <v>1E-3</v>
      </c>
      <c r="J65">
        <v>56979.66</v>
      </c>
      <c r="K65">
        <v>104.6</v>
      </c>
      <c r="L65" s="4">
        <v>0.95</v>
      </c>
      <c r="M65">
        <v>4.2</v>
      </c>
      <c r="N65">
        <v>11</v>
      </c>
    </row>
    <row r="66" spans="1:14" x14ac:dyDescent="0.2">
      <c r="A66" t="s">
        <v>16</v>
      </c>
      <c r="B66">
        <v>11</v>
      </c>
      <c r="C66" s="8" t="s">
        <v>50</v>
      </c>
      <c r="D66">
        <v>2015</v>
      </c>
      <c r="E66">
        <v>88.7</v>
      </c>
      <c r="F66">
        <v>0.1767</v>
      </c>
      <c r="G66">
        <v>207021.4</v>
      </c>
      <c r="H66">
        <v>0.14799999999999999</v>
      </c>
      <c r="I66">
        <v>-1.0999999999999999E-2</v>
      </c>
      <c r="J66">
        <v>62112.47</v>
      </c>
      <c r="K66">
        <v>74.900000000000006</v>
      </c>
      <c r="L66" s="4">
        <v>0.78</v>
      </c>
      <c r="M66">
        <v>-4</v>
      </c>
      <c r="N66">
        <v>34</v>
      </c>
    </row>
    <row r="67" spans="1:14" x14ac:dyDescent="0.2">
      <c r="A67" t="s">
        <v>17</v>
      </c>
      <c r="B67">
        <v>12</v>
      </c>
      <c r="C67" s="8" t="s">
        <v>64</v>
      </c>
      <c r="D67">
        <v>2015</v>
      </c>
      <c r="E67">
        <v>96.2</v>
      </c>
      <c r="F67">
        <v>0.23089999999999999</v>
      </c>
      <c r="G67">
        <v>1175891.8</v>
      </c>
      <c r="H67">
        <v>0.14499999999999999</v>
      </c>
      <c r="I67">
        <v>-6.0000000000000001E-3</v>
      </c>
      <c r="J67">
        <v>33887.46</v>
      </c>
      <c r="K67">
        <v>206</v>
      </c>
      <c r="L67" s="2">
        <v>0.94</v>
      </c>
      <c r="M67">
        <v>-0.1</v>
      </c>
      <c r="N67">
        <v>29</v>
      </c>
    </row>
    <row r="68" spans="1:14" x14ac:dyDescent="0.2">
      <c r="A68" t="s">
        <v>15</v>
      </c>
      <c r="B68">
        <v>13</v>
      </c>
      <c r="C68" s="8" t="s">
        <v>52</v>
      </c>
      <c r="D68">
        <v>2015</v>
      </c>
      <c r="E68">
        <v>127.9</v>
      </c>
      <c r="F68">
        <v>0.24260000000000001</v>
      </c>
      <c r="G68">
        <v>242027.1</v>
      </c>
      <c r="H68">
        <v>6.6000000000000003E-2</v>
      </c>
      <c r="I68">
        <v>0</v>
      </c>
      <c r="J68">
        <v>15211</v>
      </c>
      <c r="K68">
        <v>92.5</v>
      </c>
      <c r="L68" s="2">
        <v>1.4</v>
      </c>
      <c r="M68">
        <v>-15</v>
      </c>
      <c r="N68">
        <v>42</v>
      </c>
    </row>
    <row r="69" spans="1:14" x14ac:dyDescent="0.2">
      <c r="A69" t="s">
        <v>26</v>
      </c>
      <c r="B69">
        <v>14</v>
      </c>
      <c r="C69" s="8" t="s">
        <v>57</v>
      </c>
      <c r="D69">
        <v>2015</v>
      </c>
      <c r="E69">
        <v>83.9</v>
      </c>
      <c r="F69">
        <v>0.12570000000000001</v>
      </c>
      <c r="G69">
        <v>12255.2</v>
      </c>
      <c r="H69">
        <v>3.2000000000000001E-2</v>
      </c>
      <c r="I69">
        <v>1.2E-2</v>
      </c>
      <c r="J69">
        <v>67929.03</v>
      </c>
      <c r="K69">
        <v>32</v>
      </c>
      <c r="L69" s="4">
        <v>1.1200000000000001</v>
      </c>
      <c r="M69">
        <v>0.1</v>
      </c>
      <c r="N69">
        <v>11</v>
      </c>
    </row>
    <row r="70" spans="1:14" x14ac:dyDescent="0.2">
      <c r="A70" t="s">
        <v>19</v>
      </c>
      <c r="B70">
        <v>15</v>
      </c>
      <c r="C70" s="8" t="s">
        <v>42</v>
      </c>
      <c r="D70">
        <v>2015</v>
      </c>
      <c r="E70">
        <v>68.400000000000006</v>
      </c>
      <c r="F70">
        <v>0.13170000000000001</v>
      </c>
      <c r="G70">
        <v>70906.3</v>
      </c>
      <c r="H70">
        <v>9.5000000000000001E-2</v>
      </c>
      <c r="I70">
        <v>-3.0000000000000001E-3</v>
      </c>
      <c r="J70">
        <v>44130.55</v>
      </c>
      <c r="K70">
        <v>46.8</v>
      </c>
      <c r="L70" s="2">
        <v>0.75</v>
      </c>
      <c r="M70">
        <v>-0.4</v>
      </c>
      <c r="N70">
        <v>2</v>
      </c>
    </row>
    <row r="71" spans="1:14" x14ac:dyDescent="0.2">
      <c r="A71" t="s">
        <v>25</v>
      </c>
      <c r="B71">
        <v>16</v>
      </c>
      <c r="C71" s="8" t="s">
        <v>51</v>
      </c>
      <c r="D71">
        <v>2015</v>
      </c>
      <c r="E71">
        <v>60.3</v>
      </c>
      <c r="F71">
        <v>0.11269999999999999</v>
      </c>
      <c r="G71">
        <v>189772.5</v>
      </c>
      <c r="H71">
        <v>4.0999999999999988E-2</v>
      </c>
      <c r="I71">
        <v>1E-3</v>
      </c>
      <c r="J71">
        <v>14949.62</v>
      </c>
      <c r="K71">
        <v>215.1</v>
      </c>
      <c r="L71" s="2">
        <v>0.64</v>
      </c>
      <c r="M71">
        <v>0.5</v>
      </c>
      <c r="N71">
        <v>11</v>
      </c>
    </row>
    <row r="72" spans="1:14" x14ac:dyDescent="0.2">
      <c r="A72" t="s">
        <v>20</v>
      </c>
      <c r="B72">
        <v>17</v>
      </c>
      <c r="C72" s="8" t="s">
        <v>53</v>
      </c>
      <c r="D72">
        <v>2015</v>
      </c>
      <c r="E72">
        <v>106.7</v>
      </c>
      <c r="F72">
        <v>0.245</v>
      </c>
      <c r="G72">
        <v>1618998.1</v>
      </c>
      <c r="H72">
        <v>6.7000000000000004E-2</v>
      </c>
      <c r="I72">
        <v>1E-3</v>
      </c>
      <c r="J72">
        <v>13519.69</v>
      </c>
      <c r="K72">
        <v>108.1</v>
      </c>
      <c r="L72" s="4">
        <v>1.02</v>
      </c>
      <c r="M72">
        <v>0.6</v>
      </c>
      <c r="N72">
        <v>57</v>
      </c>
    </row>
    <row r="73" spans="1:14" x14ac:dyDescent="0.2">
      <c r="A73" t="s">
        <v>27</v>
      </c>
      <c r="B73">
        <v>18</v>
      </c>
      <c r="C73" s="8" t="s">
        <v>58</v>
      </c>
      <c r="D73">
        <v>2015</v>
      </c>
      <c r="E73">
        <v>114</v>
      </c>
      <c r="F73">
        <v>0.1986</v>
      </c>
      <c r="G73">
        <v>620666.9</v>
      </c>
      <c r="H73">
        <v>5.7000000000000002E-2</v>
      </c>
      <c r="I73">
        <v>2E-3</v>
      </c>
      <c r="J73">
        <v>86661.14</v>
      </c>
      <c r="K73">
        <v>1375.2</v>
      </c>
      <c r="L73" s="2">
        <v>1.21</v>
      </c>
      <c r="M73">
        <v>-1</v>
      </c>
      <c r="N73">
        <v>57</v>
      </c>
    </row>
    <row r="74" spans="1:14" x14ac:dyDescent="0.2">
      <c r="A74" t="s">
        <v>23</v>
      </c>
      <c r="B74">
        <v>19</v>
      </c>
      <c r="C74" s="8" t="s">
        <v>55</v>
      </c>
      <c r="D74">
        <v>2015</v>
      </c>
      <c r="E74">
        <v>64.599999999999994</v>
      </c>
      <c r="F74">
        <v>0.12559999999999999</v>
      </c>
      <c r="G74">
        <v>60379.9</v>
      </c>
      <c r="H74">
        <v>6.0999999999999999E-2</v>
      </c>
      <c r="I74">
        <v>-6.9999999999999993E-3</v>
      </c>
      <c r="J74">
        <v>34225.9</v>
      </c>
      <c r="K74">
        <v>500.9</v>
      </c>
      <c r="L74" s="2">
        <v>0.81</v>
      </c>
      <c r="M74">
        <v>4.5</v>
      </c>
      <c r="N74">
        <v>11</v>
      </c>
    </row>
    <row r="75" spans="1:14" x14ac:dyDescent="0.2">
      <c r="A75" t="s">
        <v>24</v>
      </c>
      <c r="B75">
        <v>20</v>
      </c>
      <c r="C75" s="8" t="s">
        <v>56</v>
      </c>
      <c r="D75">
        <v>2015</v>
      </c>
      <c r="E75">
        <v>125.8</v>
      </c>
      <c r="F75">
        <v>0.1767</v>
      </c>
      <c r="G75">
        <v>44175.1</v>
      </c>
      <c r="H75">
        <v>4.2999999999999997E-2</v>
      </c>
      <c r="I75">
        <v>1E-3</v>
      </c>
      <c r="J75">
        <v>73117.009999999995</v>
      </c>
      <c r="K75">
        <v>103.7</v>
      </c>
      <c r="L75" s="4">
        <v>1.29</v>
      </c>
      <c r="M75">
        <v>1.8</v>
      </c>
      <c r="N75">
        <v>57</v>
      </c>
    </row>
    <row r="76" spans="1:14" x14ac:dyDescent="0.2">
      <c r="A76" t="s">
        <v>22</v>
      </c>
      <c r="B76">
        <v>21</v>
      </c>
      <c r="C76" s="8" t="s">
        <v>54</v>
      </c>
      <c r="D76">
        <v>2015</v>
      </c>
      <c r="E76">
        <v>73.7</v>
      </c>
      <c r="F76">
        <v>0.16350000000000001</v>
      </c>
      <c r="G76">
        <v>34312.300000000003</v>
      </c>
      <c r="H76">
        <v>6.7000000000000004E-2</v>
      </c>
      <c r="I76">
        <v>2E-3</v>
      </c>
      <c r="J76">
        <v>17083.54</v>
      </c>
      <c r="K76">
        <v>123.7</v>
      </c>
      <c r="L76" s="4">
        <v>0.86</v>
      </c>
      <c r="M76">
        <v>5.5</v>
      </c>
      <c r="N76">
        <v>11</v>
      </c>
    </row>
    <row r="77" spans="1:14" x14ac:dyDescent="0.2">
      <c r="A77" t="s">
        <v>29</v>
      </c>
      <c r="B77">
        <v>22</v>
      </c>
      <c r="C77" s="8" t="s">
        <v>59</v>
      </c>
      <c r="D77">
        <v>2015</v>
      </c>
      <c r="E77">
        <v>58.1</v>
      </c>
      <c r="F77">
        <v>0.1444</v>
      </c>
      <c r="G77">
        <v>737132.3</v>
      </c>
      <c r="H77">
        <v>4.5999999999999999E-2</v>
      </c>
      <c r="I77">
        <v>-6.9999999999999993E-3</v>
      </c>
      <c r="J77">
        <v>24632.240000000002</v>
      </c>
      <c r="K77">
        <v>112.8</v>
      </c>
      <c r="L77" s="2">
        <v>0.71</v>
      </c>
      <c r="M77">
        <v>-0.5</v>
      </c>
      <c r="N77">
        <v>11</v>
      </c>
    </row>
    <row r="78" spans="1:14" x14ac:dyDescent="0.2">
      <c r="A78" t="s">
        <v>30</v>
      </c>
      <c r="B78">
        <f>B66+1</f>
        <v>12</v>
      </c>
      <c r="C78" s="8" t="s">
        <v>60</v>
      </c>
      <c r="D78">
        <v>2015</v>
      </c>
      <c r="E78">
        <v>86.3</v>
      </c>
      <c r="F78">
        <v>0.22789999999999999</v>
      </c>
      <c r="G78">
        <v>220512.6</v>
      </c>
      <c r="H78">
        <v>8.199999999999999E-2</v>
      </c>
      <c r="I78">
        <v>5.0000000000000001E-3</v>
      </c>
      <c r="J78">
        <v>10709.01</v>
      </c>
      <c r="K78">
        <v>86.6</v>
      </c>
      <c r="L78" s="4">
        <v>0.86</v>
      </c>
      <c r="M78">
        <v>0.6</v>
      </c>
      <c r="N78">
        <v>29</v>
      </c>
    </row>
    <row r="79" spans="1:14" x14ac:dyDescent="0.2">
      <c r="A79" t="s">
        <v>31</v>
      </c>
      <c r="B79">
        <v>24</v>
      </c>
      <c r="C79" s="8" t="s">
        <v>61</v>
      </c>
      <c r="D79">
        <v>2015</v>
      </c>
      <c r="E79">
        <v>55</v>
      </c>
      <c r="F79">
        <v>0.1303</v>
      </c>
      <c r="G79">
        <v>308106.5</v>
      </c>
      <c r="H79">
        <v>4.4999999999999998E-2</v>
      </c>
      <c r="I79">
        <v>-4.0000000000000001E-3</v>
      </c>
      <c r="J79">
        <v>17931.82</v>
      </c>
      <c r="K79">
        <v>102.4</v>
      </c>
      <c r="L79" s="2">
        <v>0.59</v>
      </c>
      <c r="M79">
        <v>-2.7</v>
      </c>
      <c r="N79">
        <v>8</v>
      </c>
    </row>
    <row r="80" spans="1:14" x14ac:dyDescent="0.2">
      <c r="A80" t="s">
        <v>35</v>
      </c>
      <c r="B80">
        <v>25</v>
      </c>
      <c r="C80" s="8" t="s">
        <v>65</v>
      </c>
      <c r="D80">
        <v>2015</v>
      </c>
      <c r="E80">
        <v>129.6</v>
      </c>
      <c r="F80">
        <v>0.18720000000000001</v>
      </c>
      <c r="G80">
        <v>343642</v>
      </c>
      <c r="H80">
        <v>5.4000000000000013E-2</v>
      </c>
      <c r="I80">
        <v>6.9999999999999993E-3</v>
      </c>
      <c r="J80">
        <v>26367.63</v>
      </c>
      <c r="K80">
        <v>110.5</v>
      </c>
      <c r="L80" s="2">
        <v>1.19</v>
      </c>
      <c r="M80">
        <v>-0.3</v>
      </c>
      <c r="N80">
        <v>20</v>
      </c>
    </row>
    <row r="81" spans="1:14" x14ac:dyDescent="0.2">
      <c r="A81" t="s">
        <v>32</v>
      </c>
      <c r="B81">
        <v>26</v>
      </c>
      <c r="C81" s="8" t="s">
        <v>63</v>
      </c>
      <c r="D81">
        <v>2015</v>
      </c>
      <c r="E81">
        <v>86.1</v>
      </c>
      <c r="F81">
        <v>0.15890000000000001</v>
      </c>
      <c r="G81">
        <v>46494.6</v>
      </c>
      <c r="H81">
        <v>5.7000000000000002E-2</v>
      </c>
      <c r="I81">
        <v>-8.0000000000000002E-3</v>
      </c>
      <c r="J81">
        <v>42658.77</v>
      </c>
      <c r="K81">
        <v>18</v>
      </c>
      <c r="L81" s="4">
        <v>0.88</v>
      </c>
      <c r="M81">
        <v>0.1</v>
      </c>
      <c r="N81">
        <v>11</v>
      </c>
    </row>
    <row r="82" spans="1:14" x14ac:dyDescent="0.2">
      <c r="A82" t="s">
        <v>33</v>
      </c>
      <c r="B82">
        <v>27</v>
      </c>
      <c r="C82" s="8" t="s">
        <v>62</v>
      </c>
      <c r="D82">
        <v>2015</v>
      </c>
      <c r="E82">
        <v>70.5</v>
      </c>
      <c r="F82">
        <v>0.15060000000000001</v>
      </c>
      <c r="G82">
        <v>117572.8</v>
      </c>
      <c r="H82">
        <v>7.4999999999999997E-2</v>
      </c>
      <c r="I82">
        <v>-3.0000000000000001E-3</v>
      </c>
      <c r="J82">
        <v>69666.33</v>
      </c>
      <c r="K82">
        <v>23.8</v>
      </c>
      <c r="L82" s="2">
        <v>0.62</v>
      </c>
      <c r="M82">
        <v>0.3</v>
      </c>
      <c r="N82">
        <v>11</v>
      </c>
    </row>
    <row r="83" spans="1:14" x14ac:dyDescent="0.2">
      <c r="A83" t="s">
        <v>28</v>
      </c>
      <c r="B83">
        <v>1</v>
      </c>
      <c r="C83" s="8" t="s">
        <v>39</v>
      </c>
      <c r="D83">
        <v>2016</v>
      </c>
      <c r="E83">
        <v>109.3</v>
      </c>
      <c r="F83">
        <v>0.2034</v>
      </c>
      <c r="G83">
        <v>318007.2</v>
      </c>
      <c r="H83">
        <v>4.3999999999999997E-2</v>
      </c>
      <c r="I83">
        <v>0.01</v>
      </c>
      <c r="J83">
        <v>66783.240000000005</v>
      </c>
      <c r="K83">
        <v>371.8</v>
      </c>
      <c r="L83" s="4">
        <v>0.96</v>
      </c>
      <c r="M83">
        <v>1.5</v>
      </c>
      <c r="N83">
        <v>21</v>
      </c>
    </row>
    <row r="84" spans="1:14" x14ac:dyDescent="0.2">
      <c r="A84" t="s">
        <v>9</v>
      </c>
      <c r="B84">
        <v>2</v>
      </c>
      <c r="C84" s="8" t="s">
        <v>40</v>
      </c>
      <c r="D84">
        <v>2016</v>
      </c>
      <c r="E84">
        <v>111.2</v>
      </c>
      <c r="F84">
        <v>0.25440000000000002</v>
      </c>
      <c r="G84">
        <v>381100.2</v>
      </c>
      <c r="H84">
        <v>4.7E-2</v>
      </c>
      <c r="I84">
        <v>1.7999999999999999E-2</v>
      </c>
      <c r="J84">
        <v>60218.27</v>
      </c>
      <c r="K84">
        <v>66.2</v>
      </c>
      <c r="L84" s="2">
        <v>1.05</v>
      </c>
      <c r="M84">
        <v>0.4</v>
      </c>
      <c r="N84">
        <v>58</v>
      </c>
    </row>
    <row r="85" spans="1:14" x14ac:dyDescent="0.2">
      <c r="A85" t="s">
        <v>10</v>
      </c>
      <c r="B85">
        <v>3</v>
      </c>
      <c r="C85" s="8" t="s">
        <v>41</v>
      </c>
      <c r="D85">
        <v>2016</v>
      </c>
      <c r="E85">
        <v>49.7</v>
      </c>
      <c r="F85">
        <v>9.5600000000000004E-2</v>
      </c>
      <c r="G85">
        <v>99354.6</v>
      </c>
      <c r="H85">
        <v>5.0999999999999997E-2</v>
      </c>
      <c r="I85">
        <v>-1.2999999999999999E-2</v>
      </c>
      <c r="J85">
        <v>9419.01</v>
      </c>
      <c r="K85">
        <v>136.6</v>
      </c>
      <c r="L85" s="4">
        <v>0.63</v>
      </c>
      <c r="M85">
        <v>3.2</v>
      </c>
      <c r="N85">
        <v>9</v>
      </c>
    </row>
    <row r="86" spans="1:14" x14ac:dyDescent="0.2">
      <c r="A86" t="s">
        <v>21</v>
      </c>
      <c r="B86">
        <v>4</v>
      </c>
      <c r="C86" s="8" t="s">
        <v>44</v>
      </c>
      <c r="D86">
        <v>2016</v>
      </c>
      <c r="E86">
        <v>92.2</v>
      </c>
      <c r="F86">
        <v>0.1527</v>
      </c>
      <c r="G86">
        <v>21224</v>
      </c>
      <c r="H86">
        <v>8.5999999999999993E-2</v>
      </c>
      <c r="I86">
        <v>-1.2E-2</v>
      </c>
      <c r="J86">
        <v>17873.45</v>
      </c>
      <c r="K86">
        <v>132.4</v>
      </c>
      <c r="L86" s="2">
        <v>1.1200000000000001</v>
      </c>
      <c r="M86">
        <v>-3</v>
      </c>
      <c r="N86">
        <v>12</v>
      </c>
    </row>
    <row r="87" spans="1:14" x14ac:dyDescent="0.2">
      <c r="A87" t="s">
        <v>11</v>
      </c>
      <c r="B87">
        <v>5</v>
      </c>
      <c r="C87" s="8" t="s">
        <v>43</v>
      </c>
      <c r="D87">
        <v>2016</v>
      </c>
      <c r="E87">
        <v>66.8</v>
      </c>
      <c r="F87">
        <v>0.14199999999999999</v>
      </c>
      <c r="G87">
        <v>267510.09999999998</v>
      </c>
      <c r="H87">
        <v>2.5999999999999999E-2</v>
      </c>
      <c r="I87">
        <v>6.0000000000000001E-3</v>
      </c>
      <c r="J87">
        <f>J75</f>
        <v>73117.009999999995</v>
      </c>
      <c r="K87">
        <v>228.4</v>
      </c>
      <c r="L87" s="2">
        <v>0.81</v>
      </c>
      <c r="M87">
        <v>3.3</v>
      </c>
      <c r="N87">
        <v>12</v>
      </c>
    </row>
    <row r="88" spans="1:14" x14ac:dyDescent="0.2">
      <c r="A88" t="s">
        <v>13</v>
      </c>
      <c r="B88">
        <v>6</v>
      </c>
      <c r="C88" s="8" t="s">
        <v>49</v>
      </c>
      <c r="D88">
        <v>2016</v>
      </c>
      <c r="E88">
        <v>107</v>
      </c>
      <c r="F88">
        <v>0.2969</v>
      </c>
      <c r="G88">
        <v>2950046.6</v>
      </c>
      <c r="H88">
        <v>2.7E-2</v>
      </c>
      <c r="I88">
        <v>4.0000000000000001E-3</v>
      </c>
      <c r="J88">
        <v>20926.060000000001</v>
      </c>
      <c r="K88">
        <v>30.3</v>
      </c>
      <c r="L88" s="2">
        <v>1.1100000000000001</v>
      </c>
      <c r="M88">
        <v>1.2</v>
      </c>
      <c r="N88">
        <v>58</v>
      </c>
    </row>
    <row r="89" spans="1:14" x14ac:dyDescent="0.2">
      <c r="A89" t="s">
        <v>12</v>
      </c>
      <c r="B89">
        <v>7</v>
      </c>
      <c r="C89" s="8" t="s">
        <v>45</v>
      </c>
      <c r="D89">
        <v>2016</v>
      </c>
      <c r="E89">
        <v>142.80000000000001</v>
      </c>
      <c r="F89">
        <v>0.30880000000000002</v>
      </c>
      <c r="G89">
        <v>206199.2</v>
      </c>
      <c r="H89">
        <v>4.0999999999999988E-2</v>
      </c>
      <c r="I89">
        <v>0</v>
      </c>
      <c r="J89">
        <v>73498.41</v>
      </c>
      <c r="K89">
        <v>68.5</v>
      </c>
      <c r="L89" s="4">
        <v>1.2</v>
      </c>
      <c r="M89">
        <v>-0.4</v>
      </c>
      <c r="N89">
        <v>43</v>
      </c>
    </row>
    <row r="90" spans="1:14" x14ac:dyDescent="0.2">
      <c r="A90" t="s">
        <v>34</v>
      </c>
      <c r="B90">
        <v>8</v>
      </c>
      <c r="C90" s="8" t="s">
        <v>47</v>
      </c>
      <c r="D90">
        <v>2016</v>
      </c>
      <c r="E90">
        <v>125.8</v>
      </c>
      <c r="F90">
        <v>0.15409999999999999</v>
      </c>
      <c r="G90">
        <v>170113.1</v>
      </c>
      <c r="H90">
        <v>5.8000000000000003E-2</v>
      </c>
      <c r="I90">
        <v>4.0000000000000001E-3</v>
      </c>
      <c r="J90">
        <v>24479.02</v>
      </c>
      <c r="K90">
        <v>82.7</v>
      </c>
      <c r="L90" s="4">
        <v>1.1399999999999999</v>
      </c>
      <c r="M90">
        <v>-1</v>
      </c>
      <c r="N90">
        <v>21</v>
      </c>
    </row>
    <row r="91" spans="1:14" x14ac:dyDescent="0.2">
      <c r="A91" t="s">
        <v>18</v>
      </c>
      <c r="B91">
        <v>9</v>
      </c>
      <c r="C91" s="8" t="s">
        <v>48</v>
      </c>
      <c r="D91">
        <v>2016</v>
      </c>
      <c r="E91">
        <v>112</v>
      </c>
      <c r="F91">
        <v>0.16850000000000001</v>
      </c>
      <c r="G91">
        <v>1987549.4</v>
      </c>
      <c r="H91">
        <v>6.3E-2</v>
      </c>
      <c r="I91">
        <v>3.0000000000000001E-3</v>
      </c>
      <c r="J91">
        <v>63088.1</v>
      </c>
      <c r="K91">
        <v>92.5</v>
      </c>
      <c r="L91" s="4">
        <v>0.99</v>
      </c>
      <c r="M91">
        <v>0.8</v>
      </c>
      <c r="N91">
        <v>58</v>
      </c>
    </row>
    <row r="92" spans="1:14" x14ac:dyDescent="0.2">
      <c r="A92" t="s">
        <v>14</v>
      </c>
      <c r="B92">
        <v>10</v>
      </c>
      <c r="C92" s="8" t="s">
        <v>46</v>
      </c>
      <c r="D92">
        <v>2016</v>
      </c>
      <c r="E92">
        <v>77.5</v>
      </c>
      <c r="F92">
        <v>0.1208</v>
      </c>
      <c r="G92">
        <v>29201.5</v>
      </c>
      <c r="H92">
        <v>4.9000000000000002E-2</v>
      </c>
      <c r="I92">
        <v>8.0000000000000002E-3</v>
      </c>
      <c r="J92">
        <v>56827</v>
      </c>
      <c r="K92">
        <v>105.1</v>
      </c>
      <c r="L92" s="5">
        <v>1</v>
      </c>
      <c r="M92">
        <v>4.0999999999999996</v>
      </c>
      <c r="N92">
        <v>12</v>
      </c>
    </row>
    <row r="93" spans="1:14" x14ac:dyDescent="0.2">
      <c r="A93" t="s">
        <v>16</v>
      </c>
      <c r="B93">
        <v>11</v>
      </c>
      <c r="C93" s="8" t="s">
        <v>50</v>
      </c>
      <c r="D93">
        <v>2016</v>
      </c>
      <c r="E93">
        <v>88.2</v>
      </c>
      <c r="F93">
        <v>0.1716</v>
      </c>
      <c r="G93">
        <v>205891.5</v>
      </c>
      <c r="H93">
        <v>0.14199999999999999</v>
      </c>
      <c r="I93">
        <v>0</v>
      </c>
      <c r="J93">
        <v>63336.22</v>
      </c>
      <c r="K93">
        <v>74.400000000000006</v>
      </c>
      <c r="L93" s="4">
        <v>0.79</v>
      </c>
      <c r="M93">
        <v>-1.2</v>
      </c>
      <c r="N93">
        <v>35</v>
      </c>
    </row>
    <row r="94" spans="1:14" x14ac:dyDescent="0.2">
      <c r="A94" t="s">
        <v>17</v>
      </c>
      <c r="B94">
        <v>12</v>
      </c>
      <c r="C94" s="8" t="s">
        <v>64</v>
      </c>
      <c r="D94">
        <v>2016</v>
      </c>
      <c r="E94">
        <v>94.8</v>
      </c>
      <c r="F94">
        <v>0.2185</v>
      </c>
      <c r="G94">
        <v>1213874</v>
      </c>
      <c r="H94">
        <v>0.128</v>
      </c>
      <c r="I94">
        <v>-3.0000000000000001E-3</v>
      </c>
      <c r="J94">
        <v>32722.74</v>
      </c>
      <c r="K94">
        <v>205.8</v>
      </c>
      <c r="L94" s="2">
        <v>0.97</v>
      </c>
      <c r="M94">
        <v>-0.7</v>
      </c>
      <c r="N94">
        <v>30</v>
      </c>
    </row>
    <row r="95" spans="1:14" x14ac:dyDescent="0.2">
      <c r="A95" t="s">
        <v>15</v>
      </c>
      <c r="B95">
        <v>13</v>
      </c>
      <c r="C95" s="8" t="s">
        <v>52</v>
      </c>
      <c r="D95">
        <v>2016</v>
      </c>
      <c r="E95">
        <v>128.30000000000001</v>
      </c>
      <c r="F95">
        <v>0.23200000000000001</v>
      </c>
      <c r="G95">
        <v>241563.3</v>
      </c>
      <c r="H95">
        <v>5.5999999999999987E-2</v>
      </c>
      <c r="I95">
        <v>-2E-3</v>
      </c>
      <c r="J95">
        <v>16265.59</v>
      </c>
      <c r="K95">
        <v>92</v>
      </c>
      <c r="L95" s="2">
        <v>1.33</v>
      </c>
      <c r="M95">
        <v>4.9000000000000004</v>
      </c>
      <c r="N95">
        <v>43</v>
      </c>
    </row>
    <row r="96" spans="1:14" x14ac:dyDescent="0.2">
      <c r="A96" t="s">
        <v>26</v>
      </c>
      <c r="B96">
        <v>14</v>
      </c>
      <c r="C96" s="8" t="s">
        <v>57</v>
      </c>
      <c r="D96">
        <v>2016</v>
      </c>
      <c r="E96">
        <v>83.9</v>
      </c>
      <c r="F96">
        <v>0.12570000000000001</v>
      </c>
      <c r="G96">
        <v>12944.9</v>
      </c>
      <c r="H96">
        <v>2.9000000000000001E-2</v>
      </c>
      <c r="I96">
        <v>9.0000000000000011E-3</v>
      </c>
      <c r="J96">
        <v>70053.899999999994</v>
      </c>
      <c r="K96">
        <v>31.8</v>
      </c>
      <c r="L96" s="4">
        <v>1.1399999999999999</v>
      </c>
      <c r="M96">
        <v>4.5</v>
      </c>
      <c r="N96">
        <v>12</v>
      </c>
    </row>
    <row r="97" spans="1:14" x14ac:dyDescent="0.2">
      <c r="A97" t="s">
        <v>19</v>
      </c>
      <c r="B97">
        <v>15</v>
      </c>
      <c r="C97" s="8" t="s">
        <v>42</v>
      </c>
      <c r="D97">
        <v>2016</v>
      </c>
      <c r="E97">
        <v>67.8</v>
      </c>
      <c r="F97">
        <v>0.13109999999999999</v>
      </c>
      <c r="G97">
        <v>73618.399999999994</v>
      </c>
      <c r="H97">
        <v>7.400000000000001E-2</v>
      </c>
      <c r="I97">
        <v>-6.0000000000000001E-3</v>
      </c>
      <c r="J97">
        <v>44208.62</v>
      </c>
      <c r="K97">
        <v>46.4</v>
      </c>
      <c r="L97" s="2">
        <v>0.79</v>
      </c>
      <c r="M97">
        <v>-2.2000000000000002</v>
      </c>
      <c r="N97">
        <v>3</v>
      </c>
    </row>
    <row r="98" spans="1:14" x14ac:dyDescent="0.2">
      <c r="A98" t="s">
        <v>25</v>
      </c>
      <c r="B98">
        <v>16</v>
      </c>
      <c r="C98" s="8" t="s">
        <v>51</v>
      </c>
      <c r="D98">
        <v>2016</v>
      </c>
      <c r="E98">
        <v>61.4</v>
      </c>
      <c r="F98">
        <v>0.1114</v>
      </c>
      <c r="G98">
        <v>191046.8</v>
      </c>
      <c r="H98">
        <v>3.1E-2</v>
      </c>
      <c r="I98">
        <v>4.0000000000000001E-3</v>
      </c>
      <c r="J98">
        <v>15800.14</v>
      </c>
      <c r="K98">
        <v>220.3</v>
      </c>
      <c r="L98" s="2">
        <v>0.66</v>
      </c>
      <c r="M98">
        <v>3.7</v>
      </c>
      <c r="N98">
        <v>12</v>
      </c>
    </row>
    <row r="99" spans="1:14" x14ac:dyDescent="0.2">
      <c r="A99" t="s">
        <v>20</v>
      </c>
      <c r="B99">
        <v>17</v>
      </c>
      <c r="C99" s="8" t="s">
        <v>53</v>
      </c>
      <c r="D99">
        <v>2016</v>
      </c>
      <c r="E99">
        <v>106.4</v>
      </c>
      <c r="F99">
        <v>0.23419999999999999</v>
      </c>
      <c r="G99">
        <v>1690554.6</v>
      </c>
      <c r="H99">
        <v>6.6000000000000003E-2</v>
      </c>
      <c r="I99">
        <v>-1E-3</v>
      </c>
      <c r="J99">
        <v>14866.49</v>
      </c>
      <c r="K99">
        <v>107.9</v>
      </c>
      <c r="L99" s="4">
        <v>1.03</v>
      </c>
      <c r="M99">
        <v>0.1</v>
      </c>
      <c r="N99">
        <v>58</v>
      </c>
    </row>
    <row r="100" spans="1:14" x14ac:dyDescent="0.2">
      <c r="A100" t="s">
        <v>27</v>
      </c>
      <c r="B100">
        <v>18</v>
      </c>
      <c r="C100" s="8" t="s">
        <v>58</v>
      </c>
      <c r="D100">
        <v>2016</v>
      </c>
      <c r="E100">
        <v>114.1</v>
      </c>
      <c r="F100">
        <v>0.16200000000000001</v>
      </c>
      <c r="G100">
        <v>628929.9</v>
      </c>
      <c r="H100">
        <v>5.0999999999999997E-2</v>
      </c>
      <c r="I100">
        <v>1E-3</v>
      </c>
      <c r="J100">
        <v>87250.16</v>
      </c>
      <c r="K100">
        <v>1408.4</v>
      </c>
      <c r="L100" s="2">
        <v>1.22</v>
      </c>
      <c r="M100">
        <v>1.2</v>
      </c>
      <c r="N100">
        <v>58</v>
      </c>
    </row>
    <row r="101" spans="1:14" x14ac:dyDescent="0.2">
      <c r="A101" t="s">
        <v>23</v>
      </c>
      <c r="B101">
        <v>19</v>
      </c>
      <c r="C101" s="8" t="s">
        <v>55</v>
      </c>
      <c r="D101">
        <v>2016</v>
      </c>
      <c r="E101">
        <v>64.099999999999994</v>
      </c>
      <c r="F101">
        <v>0.1231</v>
      </c>
      <c r="G101">
        <v>61507.8</v>
      </c>
      <c r="H101">
        <v>5.2999999999999999E-2</v>
      </c>
      <c r="I101">
        <v>6.9999999999999993E-3</v>
      </c>
      <c r="J101">
        <v>35402.400000000001</v>
      </c>
      <c r="K101">
        <v>503.1</v>
      </c>
      <c r="L101" s="2">
        <v>0.83</v>
      </c>
      <c r="M101">
        <v>5.5</v>
      </c>
      <c r="N101">
        <v>12</v>
      </c>
    </row>
    <row r="102" spans="1:14" x14ac:dyDescent="0.2">
      <c r="A102" t="s">
        <v>24</v>
      </c>
      <c r="B102">
        <v>20</v>
      </c>
      <c r="C102" s="8" t="s">
        <v>56</v>
      </c>
      <c r="D102">
        <v>2016</v>
      </c>
      <c r="E102">
        <v>125.5</v>
      </c>
      <c r="F102">
        <v>0.16980000000000001</v>
      </c>
      <c r="G102">
        <v>45834.400000000001</v>
      </c>
      <c r="H102">
        <v>0.04</v>
      </c>
      <c r="I102">
        <v>0</v>
      </c>
      <c r="J102">
        <v>74640.399999999994</v>
      </c>
      <c r="K102">
        <v>104.9</v>
      </c>
      <c r="L102" s="4">
        <v>1.29</v>
      </c>
      <c r="M102">
        <v>-1.2</v>
      </c>
      <c r="N102">
        <v>58</v>
      </c>
    </row>
    <row r="103" spans="1:14" x14ac:dyDescent="0.2">
      <c r="A103" t="s">
        <v>22</v>
      </c>
      <c r="B103">
        <v>21</v>
      </c>
      <c r="C103" s="8" t="s">
        <v>54</v>
      </c>
      <c r="D103">
        <v>2016</v>
      </c>
      <c r="E103">
        <v>73.099999999999994</v>
      </c>
      <c r="F103">
        <v>0.1628</v>
      </c>
      <c r="G103">
        <v>35122.5</v>
      </c>
      <c r="H103">
        <v>6.6000000000000003E-2</v>
      </c>
      <c r="I103">
        <v>1E-3</v>
      </c>
      <c r="J103">
        <v>17941.939999999999</v>
      </c>
      <c r="K103">
        <v>123.6</v>
      </c>
      <c r="L103" s="4">
        <v>0.88</v>
      </c>
      <c r="M103">
        <v>4</v>
      </c>
      <c r="N103">
        <v>12</v>
      </c>
    </row>
    <row r="104" spans="1:14" x14ac:dyDescent="0.2">
      <c r="A104" t="s">
        <v>29</v>
      </c>
      <c r="B104">
        <v>22</v>
      </c>
      <c r="C104" s="8" t="s">
        <v>59</v>
      </c>
      <c r="D104">
        <v>2016</v>
      </c>
      <c r="E104">
        <v>57.6</v>
      </c>
      <c r="F104">
        <v>0.13320000000000001</v>
      </c>
      <c r="G104">
        <v>748032.7</v>
      </c>
      <c r="H104">
        <v>3.7999999999999999E-2</v>
      </c>
      <c r="I104">
        <v>-2E-3</v>
      </c>
      <c r="J104">
        <v>24702.240000000002</v>
      </c>
      <c r="K104">
        <v>112.3</v>
      </c>
      <c r="L104" s="2">
        <v>0.76</v>
      </c>
      <c r="M104">
        <v>2.6</v>
      </c>
      <c r="N104">
        <v>12</v>
      </c>
    </row>
    <row r="105" spans="1:14" x14ac:dyDescent="0.2">
      <c r="A105" t="s">
        <v>30</v>
      </c>
      <c r="B105">
        <f>B93+1</f>
        <v>12</v>
      </c>
      <c r="C105" s="8" t="s">
        <v>60</v>
      </c>
      <c r="D105">
        <v>2016</v>
      </c>
      <c r="E105">
        <v>86.5</v>
      </c>
      <c r="F105">
        <v>0.23499999999999999</v>
      </c>
      <c r="G105">
        <v>226582.3</v>
      </c>
      <c r="H105">
        <v>7.2999999999999995E-2</v>
      </c>
      <c r="I105">
        <v>6.0000000000000001E-3</v>
      </c>
      <c r="J105">
        <v>11499.93</v>
      </c>
      <c r="K105">
        <v>86.1</v>
      </c>
      <c r="L105" s="4">
        <v>0.9</v>
      </c>
      <c r="M105">
        <v>0.9</v>
      </c>
      <c r="N105">
        <v>30</v>
      </c>
    </row>
    <row r="106" spans="1:14" x14ac:dyDescent="0.2">
      <c r="A106" t="s">
        <v>31</v>
      </c>
      <c r="B106">
        <v>24</v>
      </c>
      <c r="C106" s="8" t="s">
        <v>61</v>
      </c>
      <c r="D106">
        <v>2016</v>
      </c>
      <c r="E106">
        <v>55.1</v>
      </c>
      <c r="F106">
        <v>0.126</v>
      </c>
      <c r="G106">
        <v>327179.09999999998</v>
      </c>
      <c r="H106">
        <v>3.7999999999999999E-2</v>
      </c>
      <c r="I106">
        <v>-1.0999999999999999E-2</v>
      </c>
      <c r="J106">
        <v>18387</v>
      </c>
      <c r="K106">
        <v>102.4</v>
      </c>
      <c r="L106" s="2">
        <v>0.61</v>
      </c>
      <c r="M106">
        <v>11.8</v>
      </c>
      <c r="N106">
        <v>9</v>
      </c>
    </row>
    <row r="107" spans="1:14" x14ac:dyDescent="0.2">
      <c r="A107" t="s">
        <v>35</v>
      </c>
      <c r="B107">
        <v>25</v>
      </c>
      <c r="C107" s="8" t="s">
        <v>65</v>
      </c>
      <c r="D107">
        <v>2016</v>
      </c>
      <c r="E107">
        <v>127.8</v>
      </c>
      <c r="F107">
        <v>0.1915</v>
      </c>
      <c r="G107">
        <v>346660.9</v>
      </c>
      <c r="H107">
        <v>5.0999999999999997E-2</v>
      </c>
      <c r="I107">
        <v>1.0999999999999999E-2</v>
      </c>
      <c r="J107">
        <v>26793.42</v>
      </c>
      <c r="K107">
        <v>110.6</v>
      </c>
      <c r="L107" s="2">
        <v>1.17</v>
      </c>
      <c r="M107">
        <v>1.9</v>
      </c>
      <c r="N107">
        <v>21</v>
      </c>
    </row>
    <row r="108" spans="1:14" x14ac:dyDescent="0.2">
      <c r="A108" t="s">
        <v>32</v>
      </c>
      <c r="B108">
        <v>26</v>
      </c>
      <c r="C108" s="8" t="s">
        <v>63</v>
      </c>
      <c r="D108">
        <v>2016</v>
      </c>
      <c r="E108">
        <v>86</v>
      </c>
      <c r="F108">
        <v>0.1618</v>
      </c>
      <c r="G108">
        <v>48164.2</v>
      </c>
      <c r="H108">
        <v>0.05</v>
      </c>
      <c r="I108">
        <v>-2E-3</v>
      </c>
      <c r="J108">
        <v>42624.04</v>
      </c>
      <c r="K108">
        <v>18</v>
      </c>
      <c r="L108" s="4">
        <v>0.91</v>
      </c>
      <c r="M108">
        <v>2.5</v>
      </c>
      <c r="N108">
        <v>12</v>
      </c>
    </row>
    <row r="109" spans="1:14" x14ac:dyDescent="0.2">
      <c r="A109" t="s">
        <v>33</v>
      </c>
      <c r="B109">
        <v>27</v>
      </c>
      <c r="C109" s="8" t="s">
        <v>62</v>
      </c>
      <c r="D109">
        <v>2016</v>
      </c>
      <c r="E109">
        <v>70.7</v>
      </c>
      <c r="F109">
        <v>0.14230000000000001</v>
      </c>
      <c r="G109">
        <v>112680</v>
      </c>
      <c r="H109">
        <v>6.4000000000000001E-2</v>
      </c>
      <c r="I109">
        <v>-5.0000000000000001E-3</v>
      </c>
      <c r="J109">
        <v>70275.320000000007</v>
      </c>
      <c r="K109">
        <v>24.1</v>
      </c>
      <c r="L109" s="2">
        <v>0.66</v>
      </c>
      <c r="M109">
        <v>2.7</v>
      </c>
      <c r="N109">
        <v>12</v>
      </c>
    </row>
    <row r="110" spans="1:14" x14ac:dyDescent="0.2">
      <c r="A110" t="s">
        <v>28</v>
      </c>
      <c r="B110">
        <v>1</v>
      </c>
      <c r="C110" s="8" t="s">
        <v>39</v>
      </c>
      <c r="D110">
        <v>2017</v>
      </c>
      <c r="E110">
        <v>110.4</v>
      </c>
      <c r="F110">
        <v>0.19500000000000001</v>
      </c>
      <c r="G110">
        <v>325529.5</v>
      </c>
      <c r="H110">
        <v>0.04</v>
      </c>
      <c r="I110">
        <v>2.1999999999999999E-2</v>
      </c>
      <c r="J110">
        <v>67768.69</v>
      </c>
      <c r="K110">
        <v>373.7</v>
      </c>
      <c r="L110" s="4">
        <v>0.95</v>
      </c>
      <c r="M110">
        <v>1.1000000000000001</v>
      </c>
      <c r="N110">
        <v>22</v>
      </c>
    </row>
    <row r="111" spans="1:14" x14ac:dyDescent="0.2">
      <c r="A111" t="s">
        <v>9</v>
      </c>
      <c r="B111">
        <v>2</v>
      </c>
      <c r="C111" s="8" t="s">
        <v>40</v>
      </c>
      <c r="D111">
        <v>2017</v>
      </c>
      <c r="E111">
        <v>113.3</v>
      </c>
      <c r="F111">
        <v>0.28570000000000001</v>
      </c>
      <c r="G111">
        <v>392670.3</v>
      </c>
      <c r="H111">
        <v>4.2999999999999997E-2</v>
      </c>
      <c r="I111">
        <v>2.1999999999999999E-2</v>
      </c>
      <c r="J111">
        <v>61659.43</v>
      </c>
      <c r="K111">
        <v>64.8</v>
      </c>
      <c r="L111" s="2">
        <v>1.08</v>
      </c>
      <c r="M111">
        <v>1.8</v>
      </c>
      <c r="N111">
        <v>59</v>
      </c>
    </row>
    <row r="112" spans="1:14" x14ac:dyDescent="0.2">
      <c r="A112" t="s">
        <v>10</v>
      </c>
      <c r="B112">
        <v>3</v>
      </c>
      <c r="C112" s="8" t="s">
        <v>41</v>
      </c>
      <c r="D112">
        <v>2017</v>
      </c>
      <c r="E112">
        <v>49.7</v>
      </c>
      <c r="F112">
        <v>9.5500000000000002E-2</v>
      </c>
      <c r="G112">
        <v>104292.6</v>
      </c>
      <c r="H112">
        <v>4.3999999999999997E-2</v>
      </c>
      <c r="I112">
        <v>1.2E-2</v>
      </c>
      <c r="J112">
        <v>10306.379999999999</v>
      </c>
      <c r="K112">
        <v>136.80000000000001</v>
      </c>
      <c r="L112" s="4">
        <v>0.64</v>
      </c>
      <c r="M112">
        <v>9.5</v>
      </c>
      <c r="N112">
        <v>10</v>
      </c>
    </row>
    <row r="113" spans="1:14" x14ac:dyDescent="0.2">
      <c r="A113" t="s">
        <v>21</v>
      </c>
      <c r="B113">
        <v>4</v>
      </c>
      <c r="C113" s="8" t="s">
        <v>44</v>
      </c>
      <c r="D113">
        <v>2017</v>
      </c>
      <c r="E113">
        <v>89.5</v>
      </c>
      <c r="F113">
        <v>0.18629999999999999</v>
      </c>
      <c r="G113">
        <v>22679.8</v>
      </c>
      <c r="H113">
        <v>7.400000000000001E-2</v>
      </c>
      <c r="I113">
        <v>6.9999999999999993E-3</v>
      </c>
      <c r="J113">
        <v>19494.23</v>
      </c>
      <c r="K113">
        <v>136.4</v>
      </c>
      <c r="L113" s="2">
        <v>1.1399999999999999</v>
      </c>
      <c r="M113">
        <v>1.2</v>
      </c>
      <c r="N113">
        <v>13</v>
      </c>
    </row>
    <row r="114" spans="1:14" x14ac:dyDescent="0.2">
      <c r="A114" t="s">
        <v>11</v>
      </c>
      <c r="B114">
        <v>5</v>
      </c>
      <c r="C114" s="8" t="s">
        <v>43</v>
      </c>
      <c r="D114">
        <v>2017</v>
      </c>
      <c r="E114">
        <v>68.3</v>
      </c>
      <c r="F114">
        <v>0.14380000000000001</v>
      </c>
      <c r="G114">
        <v>286325.59999999998</v>
      </c>
      <c r="H114">
        <v>1.9E-2</v>
      </c>
      <c r="I114">
        <v>2.4E-2</v>
      </c>
      <c r="J114">
        <v>39822.44</v>
      </c>
      <c r="K114">
        <v>233.1</v>
      </c>
      <c r="L114" s="2">
        <v>0.82</v>
      </c>
      <c r="M114">
        <v>3.8</v>
      </c>
      <c r="N114">
        <v>13</v>
      </c>
    </row>
    <row r="115" spans="1:14" x14ac:dyDescent="0.2">
      <c r="A115" t="s">
        <v>13</v>
      </c>
      <c r="B115">
        <v>6</v>
      </c>
      <c r="C115" s="8" t="s">
        <v>49</v>
      </c>
      <c r="D115">
        <v>2017</v>
      </c>
      <c r="E115">
        <v>107.1</v>
      </c>
      <c r="F115">
        <v>0.30480000000000002</v>
      </c>
      <c r="G115">
        <v>3072129.5</v>
      </c>
      <c r="H115">
        <v>2.4E-2</v>
      </c>
      <c r="I115">
        <v>1.7000000000000001E-2</v>
      </c>
      <c r="J115">
        <v>22190.65</v>
      </c>
      <c r="K115">
        <v>30.3</v>
      </c>
      <c r="L115" s="2">
        <v>1.0900000000000001</v>
      </c>
      <c r="M115">
        <v>1.2</v>
      </c>
      <c r="N115">
        <v>59</v>
      </c>
    </row>
    <row r="116" spans="1:14" x14ac:dyDescent="0.2">
      <c r="A116" t="s">
        <v>12</v>
      </c>
      <c r="B116">
        <v>7</v>
      </c>
      <c r="C116" s="8" t="s">
        <v>45</v>
      </c>
      <c r="D116">
        <v>2017</v>
      </c>
      <c r="E116">
        <v>146.1</v>
      </c>
      <c r="F116">
        <v>0.3049</v>
      </c>
      <c r="G116">
        <v>218867</v>
      </c>
      <c r="H116">
        <v>0.04</v>
      </c>
      <c r="I116">
        <v>1.0999999999999999E-2</v>
      </c>
      <c r="J116">
        <v>74590.8</v>
      </c>
      <c r="K116">
        <v>69.3</v>
      </c>
      <c r="L116" s="4">
        <v>1.21</v>
      </c>
      <c r="M116">
        <v>0</v>
      </c>
      <c r="N116">
        <v>44</v>
      </c>
    </row>
    <row r="117" spans="1:14" x14ac:dyDescent="0.2">
      <c r="A117" t="s">
        <v>34</v>
      </c>
      <c r="B117">
        <v>8</v>
      </c>
      <c r="C117" s="8" t="s">
        <v>47</v>
      </c>
      <c r="D117">
        <v>2017</v>
      </c>
      <c r="E117">
        <v>126.1</v>
      </c>
      <c r="F117">
        <v>0.15809999999999999</v>
      </c>
      <c r="G117">
        <v>178712.5</v>
      </c>
      <c r="H117">
        <v>5.7000000000000002E-2</v>
      </c>
      <c r="I117">
        <v>8.0000000000000002E-3</v>
      </c>
      <c r="J117">
        <v>27116.49</v>
      </c>
      <c r="K117">
        <v>82.4</v>
      </c>
      <c r="L117" s="4">
        <v>1.1100000000000001</v>
      </c>
      <c r="M117">
        <v>-3.2</v>
      </c>
      <c r="N117">
        <v>22</v>
      </c>
    </row>
    <row r="118" spans="1:14" x14ac:dyDescent="0.2">
      <c r="A118" t="s">
        <v>18</v>
      </c>
      <c r="B118">
        <v>9</v>
      </c>
      <c r="C118" s="8" t="s">
        <v>48</v>
      </c>
      <c r="D118">
        <v>2017</v>
      </c>
      <c r="E118">
        <v>112.4</v>
      </c>
      <c r="F118">
        <v>0.1704</v>
      </c>
      <c r="G118">
        <v>2044008</v>
      </c>
      <c r="H118">
        <v>5.8999999999999997E-2</v>
      </c>
      <c r="I118">
        <v>1.2E-2</v>
      </c>
      <c r="J118">
        <v>64060.03</v>
      </c>
      <c r="K118">
        <v>92.5</v>
      </c>
      <c r="L118" s="4">
        <v>0.99</v>
      </c>
      <c r="M118">
        <v>0.9</v>
      </c>
      <c r="N118">
        <v>59</v>
      </c>
    </row>
    <row r="119" spans="1:14" x14ac:dyDescent="0.2">
      <c r="A119" t="s">
        <v>14</v>
      </c>
      <c r="B119">
        <v>10</v>
      </c>
      <c r="C119" s="8" t="s">
        <v>46</v>
      </c>
      <c r="D119">
        <v>2017</v>
      </c>
      <c r="E119">
        <v>78.8</v>
      </c>
      <c r="F119">
        <v>0.1207</v>
      </c>
      <c r="G119">
        <v>31224.6</v>
      </c>
      <c r="H119">
        <v>4.2000000000000003E-2</v>
      </c>
      <c r="I119">
        <v>3.7000000000000012E-2</v>
      </c>
      <c r="J119">
        <v>57130.29</v>
      </c>
      <c r="K119">
        <v>105.3</v>
      </c>
      <c r="L119" s="5">
        <v>1</v>
      </c>
      <c r="M119">
        <v>3.6</v>
      </c>
      <c r="N119">
        <v>13</v>
      </c>
    </row>
    <row r="120" spans="1:14" x14ac:dyDescent="0.2">
      <c r="A120" t="s">
        <v>16</v>
      </c>
      <c r="B120">
        <v>11</v>
      </c>
      <c r="C120" s="8" t="s">
        <v>50</v>
      </c>
      <c r="D120">
        <v>2017</v>
      </c>
      <c r="E120">
        <v>87.7</v>
      </c>
      <c r="F120">
        <v>0.1711</v>
      </c>
      <c r="G120">
        <v>211876.6</v>
      </c>
      <c r="H120">
        <v>0.13</v>
      </c>
      <c r="I120">
        <v>1.0999999999999999E-2</v>
      </c>
      <c r="J120">
        <v>64387.13</v>
      </c>
      <c r="K120">
        <v>74.599999999999994</v>
      </c>
      <c r="L120" s="4">
        <v>0.81</v>
      </c>
      <c r="M120">
        <v>-0.1</v>
      </c>
      <c r="N120">
        <v>36</v>
      </c>
    </row>
    <row r="121" spans="1:14" x14ac:dyDescent="0.2">
      <c r="A121" t="s">
        <v>17</v>
      </c>
      <c r="B121">
        <v>12</v>
      </c>
      <c r="C121" s="8" t="s">
        <v>64</v>
      </c>
      <c r="D121">
        <v>2017</v>
      </c>
      <c r="E121">
        <v>95.3</v>
      </c>
      <c r="F121">
        <v>0.2296</v>
      </c>
      <c r="G121">
        <v>1273964.2</v>
      </c>
      <c r="H121">
        <v>0.112</v>
      </c>
      <c r="I121">
        <v>0.02</v>
      </c>
      <c r="J121">
        <v>32467.279999999999</v>
      </c>
      <c r="K121">
        <v>205.4</v>
      </c>
      <c r="L121" s="2">
        <v>0.98</v>
      </c>
      <c r="M121">
        <v>0.3</v>
      </c>
      <c r="N121">
        <v>31</v>
      </c>
    </row>
    <row r="122" spans="1:14" x14ac:dyDescent="0.2">
      <c r="A122" t="s">
        <v>15</v>
      </c>
      <c r="B122">
        <v>13</v>
      </c>
      <c r="C122" s="8" t="s">
        <v>52</v>
      </c>
      <c r="D122">
        <v>2017</v>
      </c>
      <c r="E122">
        <v>129.30000000000001</v>
      </c>
      <c r="F122">
        <v>0.23050000000000001</v>
      </c>
      <c r="G122">
        <v>266763.59999999998</v>
      </c>
      <c r="H122">
        <v>4.4999999999999998E-2</v>
      </c>
      <c r="I122">
        <v>3.0000000000000001E-3</v>
      </c>
      <c r="J122">
        <v>18244.150000000001</v>
      </c>
      <c r="K122">
        <v>92.4</v>
      </c>
      <c r="L122" s="2">
        <v>1.36</v>
      </c>
      <c r="M122">
        <v>-3.7</v>
      </c>
      <c r="N122">
        <v>44</v>
      </c>
    </row>
    <row r="123" spans="1:14" x14ac:dyDescent="0.2">
      <c r="A123" t="s">
        <v>26</v>
      </c>
      <c r="B123">
        <v>14</v>
      </c>
      <c r="C123" s="8" t="s">
        <v>57</v>
      </c>
      <c r="D123">
        <v>2017</v>
      </c>
      <c r="E123">
        <v>84.5</v>
      </c>
      <c r="F123">
        <v>0.1328</v>
      </c>
      <c r="G123">
        <v>14683.2</v>
      </c>
      <c r="H123">
        <v>2.5000000000000001E-2</v>
      </c>
      <c r="I123">
        <v>1.2999999999999999E-2</v>
      </c>
      <c r="J123">
        <v>71313.16</v>
      </c>
      <c r="K123">
        <v>31</v>
      </c>
      <c r="L123" s="4">
        <v>1.18</v>
      </c>
      <c r="M123">
        <v>-3.5</v>
      </c>
      <c r="N123">
        <v>13</v>
      </c>
    </row>
    <row r="124" spans="1:14" x14ac:dyDescent="0.2">
      <c r="A124" t="s">
        <v>19</v>
      </c>
      <c r="B124">
        <v>15</v>
      </c>
      <c r="C124" s="8" t="s">
        <v>42</v>
      </c>
      <c r="D124">
        <v>2017</v>
      </c>
      <c r="E124">
        <v>68.5</v>
      </c>
      <c r="F124">
        <v>0.1196</v>
      </c>
      <c r="G124">
        <v>77420.399999999994</v>
      </c>
      <c r="H124">
        <v>6.4000000000000001E-2</v>
      </c>
      <c r="I124">
        <v>1.2999999999999999E-2</v>
      </c>
      <c r="J124">
        <v>44311.57</v>
      </c>
      <c r="K124">
        <v>45.8</v>
      </c>
      <c r="L124" s="2">
        <v>0.82</v>
      </c>
      <c r="M124">
        <v>-0.2</v>
      </c>
      <c r="N124">
        <v>4</v>
      </c>
    </row>
    <row r="125" spans="1:14" x14ac:dyDescent="0.2">
      <c r="A125" t="s">
        <v>25</v>
      </c>
      <c r="B125">
        <v>16</v>
      </c>
      <c r="C125" s="8" t="s">
        <v>51</v>
      </c>
      <c r="D125">
        <v>2017</v>
      </c>
      <c r="E125">
        <v>62.4</v>
      </c>
      <c r="F125">
        <v>0.1125</v>
      </c>
      <c r="G125">
        <v>198616.2</v>
      </c>
      <c r="H125">
        <v>2.5999999999999999E-2</v>
      </c>
      <c r="I125">
        <v>2.4E-2</v>
      </c>
      <c r="J125">
        <v>16920.849999999999</v>
      </c>
      <c r="K125">
        <v>225.1</v>
      </c>
      <c r="L125" s="2">
        <v>0.68</v>
      </c>
      <c r="M125">
        <v>4.3</v>
      </c>
      <c r="N125">
        <v>13</v>
      </c>
    </row>
    <row r="126" spans="1:14" x14ac:dyDescent="0.2">
      <c r="A126" t="s">
        <v>20</v>
      </c>
      <c r="B126">
        <v>17</v>
      </c>
      <c r="C126" s="8" t="s">
        <v>53</v>
      </c>
      <c r="D126">
        <v>2017</v>
      </c>
      <c r="E126">
        <v>104.3</v>
      </c>
      <c r="F126">
        <v>0.2132</v>
      </c>
      <c r="G126">
        <v>1736868.1</v>
      </c>
      <c r="H126">
        <v>6.4000000000000001E-2</v>
      </c>
      <c r="I126">
        <v>1.2999999999999999E-2</v>
      </c>
      <c r="J126">
        <v>16515.37</v>
      </c>
      <c r="K126">
        <v>107.6</v>
      </c>
      <c r="L126" s="4">
        <v>1.0900000000000001</v>
      </c>
      <c r="M126">
        <v>-0.1</v>
      </c>
      <c r="N126">
        <v>59</v>
      </c>
    </row>
    <row r="127" spans="1:14" x14ac:dyDescent="0.2">
      <c r="A127" t="s">
        <v>27</v>
      </c>
      <c r="B127">
        <v>18</v>
      </c>
      <c r="C127" s="8" t="s">
        <v>58</v>
      </c>
      <c r="D127">
        <v>2017</v>
      </c>
      <c r="E127">
        <v>115.8</v>
      </c>
      <c r="F127">
        <v>0.15620000000000001</v>
      </c>
      <c r="G127">
        <v>659401.9</v>
      </c>
      <c r="H127">
        <v>4.2000000000000003E-2</v>
      </c>
      <c r="I127">
        <v>1.2999999999999999E-2</v>
      </c>
      <c r="J127">
        <v>92151.41</v>
      </c>
      <c r="K127">
        <v>1450.2</v>
      </c>
      <c r="L127" s="2">
        <v>1.24</v>
      </c>
      <c r="M127">
        <v>0.6</v>
      </c>
      <c r="N127">
        <v>59</v>
      </c>
    </row>
    <row r="128" spans="1:14" x14ac:dyDescent="0.2">
      <c r="A128" t="s">
        <v>23</v>
      </c>
      <c r="B128">
        <v>19</v>
      </c>
      <c r="C128" s="8" t="s">
        <v>55</v>
      </c>
      <c r="D128">
        <v>2017</v>
      </c>
      <c r="E128">
        <v>65.099999999999994</v>
      </c>
      <c r="F128">
        <v>0.1116</v>
      </c>
      <c r="G128">
        <v>65589.100000000006</v>
      </c>
      <c r="H128">
        <v>4.8000000000000001E-2</v>
      </c>
      <c r="I128">
        <v>3.7000000000000012E-2</v>
      </c>
      <c r="J128">
        <v>36160.300000000003</v>
      </c>
      <c r="K128">
        <v>498.1</v>
      </c>
      <c r="L128" s="2">
        <v>0.88</v>
      </c>
      <c r="M128">
        <v>4</v>
      </c>
      <c r="N128">
        <v>13</v>
      </c>
    </row>
    <row r="129" spans="1:14" x14ac:dyDescent="0.2">
      <c r="A129" t="s">
        <v>24</v>
      </c>
      <c r="B129">
        <v>20</v>
      </c>
      <c r="C129" s="8" t="s">
        <v>56</v>
      </c>
      <c r="D129">
        <v>2017</v>
      </c>
      <c r="E129">
        <v>127.9</v>
      </c>
      <c r="F129">
        <v>0.1615</v>
      </c>
      <c r="G129">
        <v>47099.5</v>
      </c>
      <c r="H129">
        <v>3.5000000000000003E-2</v>
      </c>
      <c r="I129">
        <v>2.1000000000000001E-2</v>
      </c>
      <c r="J129">
        <v>75568.759999999995</v>
      </c>
      <c r="K129">
        <v>106</v>
      </c>
      <c r="L129" s="4">
        <v>1.32</v>
      </c>
      <c r="M129">
        <v>5.2</v>
      </c>
      <c r="N129">
        <v>59</v>
      </c>
    </row>
    <row r="130" spans="1:14" x14ac:dyDescent="0.2">
      <c r="A130" t="s">
        <v>22</v>
      </c>
      <c r="B130">
        <v>21</v>
      </c>
      <c r="C130" s="8" t="s">
        <v>54</v>
      </c>
      <c r="D130">
        <v>2017</v>
      </c>
      <c r="E130">
        <v>74.400000000000006</v>
      </c>
      <c r="F130">
        <v>0.15859999999999999</v>
      </c>
      <c r="G130">
        <v>36882</v>
      </c>
      <c r="H130">
        <v>0.06</v>
      </c>
      <c r="I130">
        <v>2.9000000000000001E-2</v>
      </c>
      <c r="J130">
        <v>19883.03</v>
      </c>
      <c r="K130">
        <v>123.6</v>
      </c>
      <c r="L130" s="4">
        <v>0.9</v>
      </c>
      <c r="M130">
        <v>3.9</v>
      </c>
      <c r="N130">
        <v>13</v>
      </c>
    </row>
    <row r="131" spans="1:14" x14ac:dyDescent="0.2">
      <c r="A131" t="s">
        <v>29</v>
      </c>
      <c r="B131">
        <v>22</v>
      </c>
      <c r="C131" s="8" t="s">
        <v>59</v>
      </c>
      <c r="D131">
        <v>2017</v>
      </c>
      <c r="E131">
        <v>55.9</v>
      </c>
      <c r="F131">
        <v>0.14460000000000001</v>
      </c>
      <c r="G131">
        <v>786967.7</v>
      </c>
      <c r="H131">
        <v>0.03</v>
      </c>
      <c r="I131">
        <v>1.6E-2</v>
      </c>
      <c r="J131">
        <v>25076.6</v>
      </c>
      <c r="K131">
        <v>113.5</v>
      </c>
      <c r="L131" s="2">
        <v>0.77</v>
      </c>
      <c r="M131">
        <v>1.6</v>
      </c>
      <c r="N131">
        <v>13</v>
      </c>
    </row>
    <row r="132" spans="1:14" x14ac:dyDescent="0.2">
      <c r="A132" t="s">
        <v>30</v>
      </c>
      <c r="B132">
        <f>B120+1</f>
        <v>12</v>
      </c>
      <c r="C132" s="8" t="s">
        <v>60</v>
      </c>
      <c r="D132">
        <v>2017</v>
      </c>
      <c r="E132">
        <v>87.3</v>
      </c>
      <c r="F132">
        <v>0.22839999999999999</v>
      </c>
      <c r="G132">
        <v>233271.1</v>
      </c>
      <c r="H132">
        <v>5.8999999999999997E-2</v>
      </c>
      <c r="I132">
        <v>1.6E-2</v>
      </c>
      <c r="J132">
        <v>12541.18</v>
      </c>
      <c r="K132">
        <v>85.6</v>
      </c>
      <c r="L132" s="4">
        <v>0.95</v>
      </c>
      <c r="M132">
        <v>1.9</v>
      </c>
      <c r="N132">
        <v>31</v>
      </c>
    </row>
    <row r="133" spans="1:14" x14ac:dyDescent="0.2">
      <c r="A133" t="s">
        <v>31</v>
      </c>
      <c r="B133">
        <v>24</v>
      </c>
      <c r="C133" s="8" t="s">
        <v>61</v>
      </c>
      <c r="D133">
        <v>2017</v>
      </c>
      <c r="E133">
        <v>53.8</v>
      </c>
      <c r="F133">
        <v>0.1198</v>
      </c>
      <c r="G133">
        <v>362526</v>
      </c>
      <c r="H133">
        <v>3.3000000000000002E-2</v>
      </c>
      <c r="I133">
        <v>1.0999999999999999E-2</v>
      </c>
      <c r="J133">
        <v>19000.39</v>
      </c>
      <c r="K133">
        <v>102.5</v>
      </c>
      <c r="L133" s="2">
        <v>0.62</v>
      </c>
      <c r="M133">
        <v>8.5</v>
      </c>
      <c r="N133">
        <v>10</v>
      </c>
    </row>
    <row r="134" spans="1:14" x14ac:dyDescent="0.2">
      <c r="A134" t="s">
        <v>35</v>
      </c>
      <c r="B134">
        <v>25</v>
      </c>
      <c r="C134" s="8" t="s">
        <v>65</v>
      </c>
      <c r="D134">
        <v>2017</v>
      </c>
      <c r="E134">
        <v>130.69999999999999</v>
      </c>
      <c r="F134">
        <v>0.19550000000000001</v>
      </c>
      <c r="G134">
        <v>355605.9</v>
      </c>
      <c r="H134">
        <v>4.9000000000000002E-2</v>
      </c>
      <c r="I134">
        <v>1.9E-2</v>
      </c>
      <c r="J134">
        <v>27406.16</v>
      </c>
      <c r="K134">
        <v>111.5</v>
      </c>
      <c r="L134" s="2">
        <v>1.1499999999999999</v>
      </c>
      <c r="M134">
        <v>2.8</v>
      </c>
      <c r="N134">
        <v>22</v>
      </c>
    </row>
    <row r="135" spans="1:14" x14ac:dyDescent="0.2">
      <c r="A135" t="s">
        <v>32</v>
      </c>
      <c r="B135">
        <v>26</v>
      </c>
      <c r="C135" s="8" t="s">
        <v>63</v>
      </c>
      <c r="D135">
        <v>2017</v>
      </c>
      <c r="E135">
        <v>86.9</v>
      </c>
      <c r="F135">
        <v>0.16089999999999999</v>
      </c>
      <c r="G135">
        <v>51352.5</v>
      </c>
      <c r="H135">
        <v>4.2000000000000003E-2</v>
      </c>
      <c r="I135">
        <v>1.6E-2</v>
      </c>
      <c r="J135">
        <v>42866.3</v>
      </c>
      <c r="K135">
        <v>18.100000000000001</v>
      </c>
      <c r="L135" s="4">
        <v>0.91</v>
      </c>
      <c r="M135">
        <v>0.7</v>
      </c>
      <c r="N135">
        <v>13</v>
      </c>
    </row>
    <row r="136" spans="1:14" x14ac:dyDescent="0.2">
      <c r="A136" t="s">
        <v>33</v>
      </c>
      <c r="B136">
        <v>27</v>
      </c>
      <c r="C136" s="8" t="s">
        <v>62</v>
      </c>
      <c r="D136">
        <v>2017</v>
      </c>
      <c r="E136">
        <v>77.900000000000006</v>
      </c>
      <c r="F136">
        <v>0.14349999999999999</v>
      </c>
      <c r="G136">
        <v>113001.3</v>
      </c>
      <c r="H136">
        <v>5.4000000000000013E-2</v>
      </c>
      <c r="I136">
        <v>1.4E-2</v>
      </c>
      <c r="J136">
        <v>70648.36</v>
      </c>
      <c r="K136">
        <v>24.4</v>
      </c>
      <c r="L136" s="2">
        <v>0.67</v>
      </c>
      <c r="M136">
        <v>4.7</v>
      </c>
      <c r="N136">
        <v>13</v>
      </c>
    </row>
    <row r="137" spans="1:14" x14ac:dyDescent="0.2">
      <c r="A137" t="s">
        <v>28</v>
      </c>
      <c r="B137">
        <v>1</v>
      </c>
      <c r="C137" s="8" t="s">
        <v>39</v>
      </c>
      <c r="D137">
        <v>2018</v>
      </c>
      <c r="E137">
        <v>111.6</v>
      </c>
      <c r="F137">
        <v>0.1966</v>
      </c>
      <c r="G137">
        <v>339506</v>
      </c>
      <c r="H137">
        <v>3.5999999999999997E-2</v>
      </c>
      <c r="I137">
        <v>2.1000000000000001E-2</v>
      </c>
      <c r="J137">
        <v>68953.87</v>
      </c>
      <c r="K137">
        <v>373.6</v>
      </c>
      <c r="L137" s="4">
        <v>0.95</v>
      </c>
      <c r="M137">
        <v>2.4</v>
      </c>
      <c r="N137">
        <v>23</v>
      </c>
    </row>
    <row r="138" spans="1:14" x14ac:dyDescent="0.2">
      <c r="A138" t="s">
        <v>9</v>
      </c>
      <c r="B138">
        <v>2</v>
      </c>
      <c r="C138" s="8" t="s">
        <v>40</v>
      </c>
      <c r="D138">
        <v>2018</v>
      </c>
      <c r="E138">
        <v>114.3</v>
      </c>
      <c r="F138">
        <v>0.28239999999999998</v>
      </c>
      <c r="G138">
        <v>406529.2</v>
      </c>
      <c r="H138">
        <v>3.5999999999999997E-2</v>
      </c>
      <c r="I138">
        <v>2.3E-2</v>
      </c>
      <c r="J138">
        <v>63774.71</v>
      </c>
      <c r="K138">
        <v>64.3</v>
      </c>
      <c r="L138" s="2">
        <v>1.05</v>
      </c>
      <c r="M138">
        <v>1.3</v>
      </c>
      <c r="N138">
        <v>60</v>
      </c>
    </row>
    <row r="139" spans="1:14" x14ac:dyDescent="0.2">
      <c r="A139" t="s">
        <v>10</v>
      </c>
      <c r="B139">
        <v>3</v>
      </c>
      <c r="C139" s="8" t="s">
        <v>41</v>
      </c>
      <c r="D139">
        <v>2018</v>
      </c>
      <c r="E139">
        <v>51.2</v>
      </c>
      <c r="F139">
        <v>9.7900000000000001E-2</v>
      </c>
      <c r="G139">
        <v>109453.3</v>
      </c>
      <c r="H139">
        <v>3.7999999999999999E-2</v>
      </c>
      <c r="I139">
        <v>2.5999999999999999E-2</v>
      </c>
      <c r="J139">
        <v>10935.1</v>
      </c>
      <c r="K139">
        <v>137.19999999999999</v>
      </c>
      <c r="L139" s="4">
        <v>0.66</v>
      </c>
      <c r="M139">
        <v>6.9</v>
      </c>
      <c r="N139">
        <v>11</v>
      </c>
    </row>
    <row r="140" spans="1:14" x14ac:dyDescent="0.2">
      <c r="A140" t="s">
        <v>21</v>
      </c>
      <c r="B140">
        <v>4</v>
      </c>
      <c r="C140" s="8" t="s">
        <v>44</v>
      </c>
      <c r="D140">
        <v>2018</v>
      </c>
      <c r="E140">
        <v>89.8</v>
      </c>
      <c r="F140">
        <v>0.1893</v>
      </c>
      <c r="G140">
        <v>24144.6</v>
      </c>
      <c r="H140">
        <v>5.7000000000000002E-2</v>
      </c>
      <c r="I140">
        <v>8.0000000000000002E-3</v>
      </c>
      <c r="J140">
        <v>20253.64</v>
      </c>
      <c r="K140">
        <v>137.30000000000001</v>
      </c>
      <c r="L140" s="2">
        <v>1.1499999999999999</v>
      </c>
      <c r="M140">
        <v>1.2</v>
      </c>
      <c r="N140">
        <v>14</v>
      </c>
    </row>
    <row r="141" spans="1:14" x14ac:dyDescent="0.2">
      <c r="A141" t="s">
        <v>11</v>
      </c>
      <c r="B141">
        <v>5</v>
      </c>
      <c r="C141" s="8" t="s">
        <v>43</v>
      </c>
      <c r="D141">
        <v>2018</v>
      </c>
      <c r="E141">
        <v>70.5</v>
      </c>
      <c r="F141">
        <v>0.1573</v>
      </c>
      <c r="G141">
        <v>300119.59999999998</v>
      </c>
      <c r="H141">
        <v>1.4999999999999999E-2</v>
      </c>
      <c r="I141">
        <v>0.02</v>
      </c>
      <c r="J141">
        <v>40813.769999999997</v>
      </c>
      <c r="K141">
        <v>234</v>
      </c>
      <c r="L141" s="2">
        <v>0.84</v>
      </c>
      <c r="M141">
        <v>6.6</v>
      </c>
      <c r="N141">
        <v>14</v>
      </c>
    </row>
    <row r="142" spans="1:14" x14ac:dyDescent="0.2">
      <c r="A142" t="s">
        <v>13</v>
      </c>
      <c r="B142">
        <v>6</v>
      </c>
      <c r="C142" s="8" t="s">
        <v>49</v>
      </c>
      <c r="D142">
        <v>2018</v>
      </c>
      <c r="E142">
        <v>106.5</v>
      </c>
      <c r="F142">
        <v>0.29870000000000002</v>
      </c>
      <c r="G142">
        <v>3163439.7</v>
      </c>
      <c r="H142">
        <v>2.1999999999999999E-2</v>
      </c>
      <c r="I142">
        <v>1.9E-2</v>
      </c>
      <c r="J142">
        <v>25189.31</v>
      </c>
      <c r="K142">
        <v>30.3</v>
      </c>
      <c r="L142" s="2">
        <v>1.0900000000000001</v>
      </c>
      <c r="M142">
        <v>3.2</v>
      </c>
      <c r="N142">
        <v>60</v>
      </c>
    </row>
    <row r="143" spans="1:14" x14ac:dyDescent="0.2">
      <c r="A143" t="s">
        <v>12</v>
      </c>
      <c r="B143">
        <v>7</v>
      </c>
      <c r="C143" s="8" t="s">
        <v>45</v>
      </c>
      <c r="D143">
        <v>2018</v>
      </c>
      <c r="E143">
        <v>143.1</v>
      </c>
      <c r="F143">
        <v>0.31259999999999999</v>
      </c>
      <c r="G143">
        <v>224840.6</v>
      </c>
      <c r="H143">
        <v>3.5000000000000003E-2</v>
      </c>
      <c r="I143">
        <v>6.9999999999999993E-3</v>
      </c>
      <c r="J143">
        <v>76082.789999999994</v>
      </c>
      <c r="K143">
        <v>70</v>
      </c>
      <c r="L143" s="4">
        <v>1.2</v>
      </c>
      <c r="M143">
        <v>1.3</v>
      </c>
      <c r="N143">
        <v>45</v>
      </c>
    </row>
    <row r="144" spans="1:14" x14ac:dyDescent="0.2">
      <c r="A144" t="s">
        <v>34</v>
      </c>
      <c r="B144">
        <v>8</v>
      </c>
      <c r="C144" s="8" t="s">
        <v>47</v>
      </c>
      <c r="D144">
        <v>2018</v>
      </c>
      <c r="E144">
        <v>125.1</v>
      </c>
      <c r="F144">
        <v>0.16120000000000001</v>
      </c>
      <c r="G144">
        <v>184184.6</v>
      </c>
      <c r="H144">
        <v>4.9000000000000002E-2</v>
      </c>
      <c r="I144">
        <v>1.2E-2</v>
      </c>
      <c r="J144">
        <v>28564.99</v>
      </c>
      <c r="K144">
        <v>82.2</v>
      </c>
      <c r="L144" s="4">
        <v>1.1299999999999999</v>
      </c>
      <c r="M144">
        <v>2.7</v>
      </c>
      <c r="N144">
        <v>23</v>
      </c>
    </row>
    <row r="145" spans="1:14" x14ac:dyDescent="0.2">
      <c r="A145" t="s">
        <v>18</v>
      </c>
      <c r="B145">
        <v>9</v>
      </c>
      <c r="C145" s="8" t="s">
        <v>48</v>
      </c>
      <c r="D145">
        <v>2018</v>
      </c>
      <c r="E145">
        <v>113</v>
      </c>
      <c r="F145">
        <v>0.17480000000000001</v>
      </c>
      <c r="G145">
        <v>2112092</v>
      </c>
      <c r="H145">
        <v>5.7000000000000002E-2</v>
      </c>
      <c r="I145">
        <v>2.1000000000000001E-2</v>
      </c>
      <c r="J145">
        <v>65197.07</v>
      </c>
      <c r="K145">
        <v>92.7</v>
      </c>
      <c r="L145" s="4">
        <v>0.99</v>
      </c>
      <c r="M145">
        <v>0.8</v>
      </c>
      <c r="N145">
        <v>60</v>
      </c>
    </row>
    <row r="146" spans="1:14" x14ac:dyDescent="0.2">
      <c r="A146" t="s">
        <v>14</v>
      </c>
      <c r="B146">
        <v>10</v>
      </c>
      <c r="C146" s="8" t="s">
        <v>46</v>
      </c>
      <c r="D146">
        <v>2018</v>
      </c>
      <c r="E146">
        <v>80.900000000000006</v>
      </c>
      <c r="F146">
        <v>0.1348</v>
      </c>
      <c r="G146">
        <v>33274.800000000003</v>
      </c>
      <c r="H146">
        <v>3.9E-2</v>
      </c>
      <c r="I146">
        <v>3.4000000000000002E-2</v>
      </c>
      <c r="J146">
        <v>58446.84</v>
      </c>
      <c r="K146">
        <v>105.6</v>
      </c>
      <c r="L146" s="4">
        <v>1.02</v>
      </c>
      <c r="M146">
        <v>7</v>
      </c>
      <c r="N146">
        <v>14</v>
      </c>
    </row>
    <row r="147" spans="1:14" x14ac:dyDescent="0.2">
      <c r="A147" t="s">
        <v>16</v>
      </c>
      <c r="B147">
        <v>11</v>
      </c>
      <c r="C147" s="8" t="s">
        <v>50</v>
      </c>
      <c r="D147">
        <v>2018</v>
      </c>
      <c r="E147">
        <v>86.9</v>
      </c>
      <c r="F147">
        <v>0.16719999999999999</v>
      </c>
      <c r="G147">
        <v>216814.8</v>
      </c>
      <c r="H147">
        <v>0.11700000000000001</v>
      </c>
      <c r="I147">
        <v>8.0000000000000002E-3</v>
      </c>
      <c r="J147">
        <v>66383.77</v>
      </c>
      <c r="K147">
        <v>73.900000000000006</v>
      </c>
      <c r="L147" s="4">
        <v>0.85</v>
      </c>
      <c r="M147">
        <v>-1.4</v>
      </c>
      <c r="N147">
        <v>37</v>
      </c>
    </row>
    <row r="148" spans="1:14" x14ac:dyDescent="0.2">
      <c r="A148" t="s">
        <v>17</v>
      </c>
      <c r="B148">
        <v>12</v>
      </c>
      <c r="C148" s="8" t="s">
        <v>64</v>
      </c>
      <c r="D148">
        <v>2018</v>
      </c>
      <c r="E148">
        <v>94.7</v>
      </c>
      <c r="F148">
        <v>0.23830000000000001</v>
      </c>
      <c r="G148">
        <v>1301054.8</v>
      </c>
      <c r="H148">
        <v>9.9000000000000005E-2</v>
      </c>
      <c r="I148">
        <v>1.7000000000000001E-2</v>
      </c>
      <c r="J148">
        <v>32437.22</v>
      </c>
      <c r="K148">
        <v>203.3</v>
      </c>
      <c r="L148" s="2">
        <v>1.01</v>
      </c>
      <c r="M148">
        <v>1.6</v>
      </c>
      <c r="N148">
        <v>32</v>
      </c>
    </row>
    <row r="149" spans="1:14" x14ac:dyDescent="0.2">
      <c r="A149" t="s">
        <v>15</v>
      </c>
      <c r="B149">
        <v>13</v>
      </c>
      <c r="C149" s="8" t="s">
        <v>52</v>
      </c>
      <c r="D149">
        <v>2018</v>
      </c>
      <c r="E149">
        <v>131.5</v>
      </c>
      <c r="F149">
        <v>0.2369</v>
      </c>
      <c r="G149">
        <v>286616.7</v>
      </c>
      <c r="H149">
        <v>3.9E-2</v>
      </c>
      <c r="I149">
        <v>6.9999999999999993E-3</v>
      </c>
      <c r="J149">
        <v>19491.96</v>
      </c>
      <c r="K149">
        <v>93.3</v>
      </c>
      <c r="L149" s="2">
        <v>1.34</v>
      </c>
      <c r="M149">
        <v>-1.8</v>
      </c>
      <c r="N149">
        <v>45</v>
      </c>
    </row>
    <row r="150" spans="1:14" x14ac:dyDescent="0.2">
      <c r="A150" t="s">
        <v>26</v>
      </c>
      <c r="B150">
        <v>14</v>
      </c>
      <c r="C150" s="8" t="s">
        <v>57</v>
      </c>
      <c r="D150">
        <v>2018</v>
      </c>
      <c r="E150">
        <v>86.3</v>
      </c>
      <c r="F150">
        <v>0.1285</v>
      </c>
      <c r="G150">
        <v>15808.2</v>
      </c>
      <c r="H150">
        <v>2.5000000000000001E-2</v>
      </c>
      <c r="I150">
        <v>1.7000000000000001E-2</v>
      </c>
      <c r="J150">
        <v>73613.039999999994</v>
      </c>
      <c r="K150">
        <v>30.7</v>
      </c>
      <c r="L150" s="4">
        <v>1.18</v>
      </c>
      <c r="M150">
        <v>7.3</v>
      </c>
      <c r="N150">
        <v>14</v>
      </c>
    </row>
    <row r="151" spans="1:14" x14ac:dyDescent="0.2">
      <c r="A151" t="s">
        <v>19</v>
      </c>
      <c r="B151">
        <v>15</v>
      </c>
      <c r="C151" s="8" t="s">
        <v>42</v>
      </c>
      <c r="D151">
        <v>2018</v>
      </c>
      <c r="E151">
        <v>69.2</v>
      </c>
      <c r="F151">
        <v>0.13109999999999999</v>
      </c>
      <c r="G151">
        <v>80569.8</v>
      </c>
      <c r="H151">
        <v>4.7E-2</v>
      </c>
      <c r="I151">
        <v>1.6E-2</v>
      </c>
      <c r="J151">
        <v>44622.87</v>
      </c>
      <c r="K151">
        <v>45.2</v>
      </c>
      <c r="L151" s="2">
        <v>0.86</v>
      </c>
      <c r="M151">
        <v>3.7</v>
      </c>
      <c r="N151">
        <v>5</v>
      </c>
    </row>
    <row r="152" spans="1:14" x14ac:dyDescent="0.2">
      <c r="A152" t="s">
        <v>25</v>
      </c>
      <c r="B152">
        <v>16</v>
      </c>
      <c r="C152" s="8" t="s">
        <v>51</v>
      </c>
      <c r="D152">
        <v>2018</v>
      </c>
      <c r="E152">
        <v>65.900000000000006</v>
      </c>
      <c r="F152">
        <v>0.1123</v>
      </c>
      <c r="G152">
        <v>212322.8</v>
      </c>
      <c r="H152">
        <v>2.3E-2</v>
      </c>
      <c r="I152">
        <v>2.9000000000000001E-2</v>
      </c>
      <c r="J152">
        <v>18419.32</v>
      </c>
      <c r="K152">
        <v>230.6</v>
      </c>
      <c r="L152" s="2">
        <v>0.7</v>
      </c>
      <c r="M152">
        <v>2.8</v>
      </c>
      <c r="N152">
        <v>14</v>
      </c>
    </row>
    <row r="153" spans="1:14" x14ac:dyDescent="0.2">
      <c r="A153" t="s">
        <v>20</v>
      </c>
      <c r="B153">
        <v>17</v>
      </c>
      <c r="C153" s="8" t="s">
        <v>53</v>
      </c>
      <c r="D153">
        <v>2018</v>
      </c>
      <c r="E153">
        <v>103.7</v>
      </c>
      <c r="F153">
        <v>0.20669999999999999</v>
      </c>
      <c r="G153">
        <v>1769516.1</v>
      </c>
      <c r="H153">
        <v>6.0999999999999999E-2</v>
      </c>
      <c r="I153">
        <v>1.2E-2</v>
      </c>
      <c r="J153">
        <v>18101.310000000001</v>
      </c>
      <c r="K153">
        <v>107.3</v>
      </c>
      <c r="L153" s="4">
        <v>1.05</v>
      </c>
      <c r="M153">
        <v>1.5</v>
      </c>
      <c r="N153">
        <v>60</v>
      </c>
    </row>
    <row r="154" spans="1:14" x14ac:dyDescent="0.2">
      <c r="A154" t="s">
        <v>27</v>
      </c>
      <c r="B154">
        <v>18</v>
      </c>
      <c r="C154" s="8" t="s">
        <v>58</v>
      </c>
      <c r="D154">
        <v>2018</v>
      </c>
      <c r="E154">
        <v>114.8</v>
      </c>
      <c r="F154">
        <v>0.1706</v>
      </c>
      <c r="G154">
        <v>687256.6</v>
      </c>
      <c r="H154">
        <v>3.5999999999999997E-2</v>
      </c>
      <c r="I154">
        <v>1.6E-2</v>
      </c>
      <c r="J154">
        <v>93618.46</v>
      </c>
      <c r="K154">
        <v>1495.2</v>
      </c>
      <c r="L154" s="2">
        <v>1.23</v>
      </c>
      <c r="M154">
        <v>2.7</v>
      </c>
      <c r="N154">
        <v>60</v>
      </c>
    </row>
    <row r="155" spans="1:14" x14ac:dyDescent="0.2">
      <c r="A155" t="s">
        <v>23</v>
      </c>
      <c r="B155">
        <v>19</v>
      </c>
      <c r="C155" s="8" t="s">
        <v>55</v>
      </c>
      <c r="D155">
        <v>2018</v>
      </c>
      <c r="E155">
        <v>66.099999999999994</v>
      </c>
      <c r="F155">
        <v>0.10970000000000001</v>
      </c>
      <c r="G155">
        <v>69758.2</v>
      </c>
      <c r="H155">
        <v>4.2999999999999997E-2</v>
      </c>
      <c r="I155">
        <v>2.5000000000000001E-2</v>
      </c>
      <c r="J155">
        <v>37330.300000000003</v>
      </c>
      <c r="K155">
        <v>501.1</v>
      </c>
      <c r="L155" s="2">
        <v>0.91</v>
      </c>
      <c r="M155">
        <v>4.3</v>
      </c>
      <c r="N155">
        <v>14</v>
      </c>
    </row>
    <row r="156" spans="1:14" x14ac:dyDescent="0.2">
      <c r="A156" t="s">
        <v>24</v>
      </c>
      <c r="B156">
        <v>20</v>
      </c>
      <c r="C156" s="8" t="s">
        <v>56</v>
      </c>
      <c r="D156">
        <v>2018</v>
      </c>
      <c r="E156">
        <v>128.80000000000001</v>
      </c>
      <c r="F156">
        <v>0.1671</v>
      </c>
      <c r="G156">
        <v>48082</v>
      </c>
      <c r="H156">
        <v>3.5999999999999997E-2</v>
      </c>
      <c r="I156">
        <v>0.02</v>
      </c>
      <c r="J156">
        <v>76436.36</v>
      </c>
      <c r="K156">
        <v>106.8</v>
      </c>
      <c r="L156" s="4">
        <v>1.31</v>
      </c>
      <c r="M156">
        <v>4.4000000000000004</v>
      </c>
      <c r="N156">
        <v>60</v>
      </c>
    </row>
    <row r="157" spans="1:14" x14ac:dyDescent="0.2">
      <c r="A157" t="s">
        <v>22</v>
      </c>
      <c r="B157">
        <v>21</v>
      </c>
      <c r="C157" s="8" t="s">
        <v>54</v>
      </c>
      <c r="D157">
        <v>2018</v>
      </c>
      <c r="E157">
        <v>74.900000000000006</v>
      </c>
      <c r="F157">
        <v>0.15310000000000001</v>
      </c>
      <c r="G157">
        <v>38964.5</v>
      </c>
      <c r="H157">
        <v>5.1999999999999998E-2</v>
      </c>
      <c r="I157">
        <v>2.5999999999999999E-2</v>
      </c>
      <c r="J157">
        <v>21307.84</v>
      </c>
      <c r="K157">
        <v>123.6</v>
      </c>
      <c r="L157" s="4">
        <v>0.9</v>
      </c>
      <c r="M157">
        <v>4.7</v>
      </c>
      <c r="N157">
        <v>14</v>
      </c>
    </row>
    <row r="158" spans="1:14" x14ac:dyDescent="0.2">
      <c r="A158" t="s">
        <v>29</v>
      </c>
      <c r="B158">
        <v>22</v>
      </c>
      <c r="C158" s="8" t="s">
        <v>59</v>
      </c>
      <c r="D158">
        <v>2018</v>
      </c>
      <c r="E158">
        <v>58.8</v>
      </c>
      <c r="F158">
        <v>0.14099999999999999</v>
      </c>
      <c r="G158">
        <v>832866.1</v>
      </c>
      <c r="H158">
        <v>2.4E-2</v>
      </c>
      <c r="I158">
        <v>1.2E-2</v>
      </c>
      <c r="J158">
        <v>26003.5</v>
      </c>
      <c r="K158">
        <v>113.2</v>
      </c>
      <c r="L158" s="2">
        <v>0.79</v>
      </c>
      <c r="M158">
        <v>1.7</v>
      </c>
      <c r="N158">
        <v>14</v>
      </c>
    </row>
    <row r="159" spans="1:14" x14ac:dyDescent="0.2">
      <c r="A159" t="s">
        <v>30</v>
      </c>
      <c r="B159">
        <f>B147+1</f>
        <v>12</v>
      </c>
      <c r="C159" s="8" t="s">
        <v>60</v>
      </c>
      <c r="D159">
        <v>2018</v>
      </c>
      <c r="E159">
        <v>88.9</v>
      </c>
      <c r="F159">
        <v>0.22459999999999999</v>
      </c>
      <c r="G159">
        <v>243339.4</v>
      </c>
      <c r="H159">
        <v>4.7E-2</v>
      </c>
      <c r="I159">
        <v>1.2E-2</v>
      </c>
      <c r="J159">
        <v>13772.36</v>
      </c>
      <c r="K159">
        <v>85.2</v>
      </c>
      <c r="L159" s="4">
        <v>0.99</v>
      </c>
      <c r="M159">
        <v>3.7</v>
      </c>
      <c r="N159">
        <v>32</v>
      </c>
    </row>
    <row r="160" spans="1:14" x14ac:dyDescent="0.2">
      <c r="A160" t="s">
        <v>31</v>
      </c>
      <c r="B160">
        <v>24</v>
      </c>
      <c r="C160" s="8" t="s">
        <v>61</v>
      </c>
      <c r="D160">
        <v>2018</v>
      </c>
      <c r="E160">
        <v>54.7</v>
      </c>
      <c r="F160">
        <v>0.1333</v>
      </c>
      <c r="G160">
        <v>390680.7</v>
      </c>
      <c r="H160">
        <v>2.9000000000000001E-2</v>
      </c>
      <c r="I160">
        <v>4.0999999999999988E-2</v>
      </c>
      <c r="J160">
        <v>20014.98</v>
      </c>
      <c r="K160">
        <v>102.6</v>
      </c>
      <c r="L160" s="2">
        <v>0.63</v>
      </c>
      <c r="M160">
        <v>6.3</v>
      </c>
      <c r="N160">
        <v>11</v>
      </c>
    </row>
    <row r="161" spans="1:14" x14ac:dyDescent="0.2">
      <c r="A161" t="s">
        <v>35</v>
      </c>
      <c r="B161">
        <v>25</v>
      </c>
      <c r="C161" s="8" t="s">
        <v>65</v>
      </c>
      <c r="D161">
        <v>2018</v>
      </c>
      <c r="E161">
        <v>131.19999999999999</v>
      </c>
      <c r="F161">
        <v>0.191</v>
      </c>
      <c r="G161">
        <v>366517.8</v>
      </c>
      <c r="H161">
        <v>4.7E-2</v>
      </c>
      <c r="I161">
        <v>0.02</v>
      </c>
      <c r="J161">
        <v>27872.25</v>
      </c>
      <c r="K161">
        <v>111.7</v>
      </c>
      <c r="L161" s="2">
        <v>1.1299999999999999</v>
      </c>
      <c r="M161">
        <v>3.6</v>
      </c>
      <c r="N161">
        <v>23</v>
      </c>
    </row>
    <row r="162" spans="1:14" x14ac:dyDescent="0.2">
      <c r="A162" t="s">
        <v>32</v>
      </c>
      <c r="B162">
        <v>26</v>
      </c>
      <c r="C162" s="8" t="s">
        <v>63</v>
      </c>
      <c r="D162">
        <v>2018</v>
      </c>
      <c r="E162">
        <v>86.5</v>
      </c>
      <c r="F162">
        <v>0.1613</v>
      </c>
      <c r="G162">
        <v>54309.2</v>
      </c>
      <c r="H162">
        <v>3.3000000000000002E-2</v>
      </c>
      <c r="I162">
        <v>1.9E-2</v>
      </c>
      <c r="J162">
        <v>43365.84</v>
      </c>
      <c r="K162">
        <v>18.100000000000001</v>
      </c>
      <c r="L162" s="4">
        <v>0.91</v>
      </c>
      <c r="M162">
        <v>2.7</v>
      </c>
      <c r="N162">
        <v>14</v>
      </c>
    </row>
    <row r="163" spans="1:14" x14ac:dyDescent="0.2">
      <c r="A163" t="s">
        <v>33</v>
      </c>
      <c r="B163">
        <v>27</v>
      </c>
      <c r="C163" s="8" t="s">
        <v>62</v>
      </c>
      <c r="D163">
        <v>2018</v>
      </c>
      <c r="E163">
        <v>82.4</v>
      </c>
      <c r="F163">
        <v>0.15659999999999999</v>
      </c>
      <c r="G163">
        <v>116374.5</v>
      </c>
      <c r="H163">
        <v>4.2999999999999997E-2</v>
      </c>
      <c r="I163">
        <v>2.5000000000000001E-2</v>
      </c>
      <c r="J163">
        <v>68398.66</v>
      </c>
      <c r="K163">
        <v>24.7</v>
      </c>
      <c r="L163" s="2">
        <v>0.68</v>
      </c>
      <c r="M163">
        <v>3.8</v>
      </c>
      <c r="N163">
        <v>14</v>
      </c>
    </row>
    <row r="164" spans="1:14" x14ac:dyDescent="0.2">
      <c r="A164" t="s">
        <v>28</v>
      </c>
      <c r="B164">
        <v>1</v>
      </c>
      <c r="C164" s="8" t="s">
        <v>39</v>
      </c>
      <c r="D164">
        <v>2019</v>
      </c>
      <c r="E164">
        <v>112.2</v>
      </c>
      <c r="F164">
        <v>0.2034</v>
      </c>
      <c r="G164">
        <v>348535.9</v>
      </c>
      <c r="H164">
        <v>3.3000000000000002E-2</v>
      </c>
      <c r="I164">
        <v>1.4999999999999999E-2</v>
      </c>
      <c r="J164">
        <v>72818.240000000005</v>
      </c>
      <c r="K164">
        <v>375.3</v>
      </c>
      <c r="L164" s="4">
        <v>0.95</v>
      </c>
      <c r="M164">
        <v>2</v>
      </c>
      <c r="N164">
        <v>24</v>
      </c>
    </row>
    <row r="165" spans="1:14" x14ac:dyDescent="0.2">
      <c r="A165" t="s">
        <v>9</v>
      </c>
      <c r="B165">
        <v>2</v>
      </c>
      <c r="C165" s="8" t="s">
        <v>40</v>
      </c>
      <c r="D165">
        <v>2019</v>
      </c>
      <c r="E165">
        <v>114.7</v>
      </c>
      <c r="F165">
        <v>0.28389999999999999</v>
      </c>
      <c r="G165">
        <v>423728.8</v>
      </c>
      <c r="H165">
        <v>3.3000000000000002E-2</v>
      </c>
      <c r="I165">
        <v>1.2E-2</v>
      </c>
      <c r="J165">
        <v>65824.639999999999</v>
      </c>
      <c r="K165">
        <v>63.9</v>
      </c>
      <c r="L165" s="2">
        <v>1.0900000000000001</v>
      </c>
      <c r="M165">
        <v>1.3</v>
      </c>
      <c r="N165">
        <v>61</v>
      </c>
    </row>
    <row r="166" spans="1:14" x14ac:dyDescent="0.2">
      <c r="A166" t="s">
        <v>10</v>
      </c>
      <c r="B166">
        <v>3</v>
      </c>
      <c r="C166" s="8" t="s">
        <v>41</v>
      </c>
      <c r="D166">
        <v>2019</v>
      </c>
      <c r="E166">
        <v>51.9</v>
      </c>
      <c r="F166">
        <v>9.9699999999999997E-2</v>
      </c>
      <c r="G166">
        <v>115384.6</v>
      </c>
      <c r="H166">
        <v>3.3000000000000002E-2</v>
      </c>
      <c r="I166">
        <v>2.5000000000000001E-2</v>
      </c>
      <c r="J166">
        <v>12226.94</v>
      </c>
      <c r="K166">
        <v>137.69999999999999</v>
      </c>
      <c r="L166" s="4">
        <v>0.69</v>
      </c>
      <c r="M166">
        <v>1.6</v>
      </c>
      <c r="N166">
        <v>12</v>
      </c>
    </row>
    <row r="167" spans="1:14" x14ac:dyDescent="0.2">
      <c r="A167" t="s">
        <v>21</v>
      </c>
      <c r="B167">
        <v>4</v>
      </c>
      <c r="C167" s="8" t="s">
        <v>44</v>
      </c>
      <c r="D167">
        <v>2019</v>
      </c>
      <c r="E167">
        <v>90.9</v>
      </c>
      <c r="F167">
        <v>0.2203</v>
      </c>
      <c r="G167">
        <v>25876.7</v>
      </c>
      <c r="H167">
        <v>4.9000000000000002E-2</v>
      </c>
      <c r="I167">
        <v>5.0000000000000001E-3</v>
      </c>
      <c r="J167">
        <v>20773.919999999998</v>
      </c>
      <c r="K167">
        <v>138</v>
      </c>
      <c r="L167" s="2">
        <v>1.1399999999999999</v>
      </c>
      <c r="M167">
        <v>4.4000000000000004</v>
      </c>
      <c r="N167">
        <v>15</v>
      </c>
    </row>
    <row r="168" spans="1:14" x14ac:dyDescent="0.2">
      <c r="A168" t="s">
        <v>11</v>
      </c>
      <c r="B168">
        <v>5</v>
      </c>
      <c r="C168" s="8" t="s">
        <v>43</v>
      </c>
      <c r="D168">
        <v>2019</v>
      </c>
      <c r="E168">
        <v>74</v>
      </c>
      <c r="F168">
        <v>0.17480000000000001</v>
      </c>
      <c r="G168">
        <v>316566.7</v>
      </c>
      <c r="H168">
        <v>1.2999999999999999E-2</v>
      </c>
      <c r="I168">
        <v>2.5999999999999999E-2</v>
      </c>
      <c r="J168">
        <v>41336.99</v>
      </c>
      <c r="K168">
        <v>234.7</v>
      </c>
      <c r="L168" s="2">
        <v>0.84</v>
      </c>
      <c r="M168">
        <v>3.4</v>
      </c>
      <c r="N168">
        <v>15</v>
      </c>
    </row>
    <row r="169" spans="1:14" x14ac:dyDescent="0.2">
      <c r="A169" t="s">
        <v>13</v>
      </c>
      <c r="B169">
        <v>6</v>
      </c>
      <c r="C169" s="8" t="s">
        <v>49</v>
      </c>
      <c r="D169">
        <v>2019</v>
      </c>
      <c r="E169">
        <v>105.8</v>
      </c>
      <c r="F169">
        <v>0.30880000000000002</v>
      </c>
      <c r="G169">
        <v>3202812.4</v>
      </c>
      <c r="H169">
        <v>2.1000000000000001E-2</v>
      </c>
      <c r="I169">
        <v>1.4E-2</v>
      </c>
      <c r="J169">
        <v>25853.61</v>
      </c>
      <c r="K169">
        <v>30.4</v>
      </c>
      <c r="L169" s="2">
        <v>1.0900000000000001</v>
      </c>
      <c r="M169">
        <v>3</v>
      </c>
      <c r="N169">
        <v>61</v>
      </c>
    </row>
    <row r="170" spans="1:14" x14ac:dyDescent="0.2">
      <c r="A170" t="s">
        <v>12</v>
      </c>
      <c r="B170">
        <v>7</v>
      </c>
      <c r="C170" s="8" t="s">
        <v>45</v>
      </c>
      <c r="D170">
        <v>2019</v>
      </c>
      <c r="E170">
        <v>141.4</v>
      </c>
      <c r="F170">
        <v>0.2984</v>
      </c>
      <c r="G170">
        <v>229124.1</v>
      </c>
      <c r="H170">
        <v>3.5000000000000003E-2</v>
      </c>
      <c r="I170">
        <v>6.9999999999999993E-3</v>
      </c>
      <c r="J170">
        <v>77753.350000000006</v>
      </c>
      <c r="K170">
        <v>70.900000000000006</v>
      </c>
      <c r="L170" s="4">
        <v>1.23</v>
      </c>
      <c r="M170">
        <v>1</v>
      </c>
      <c r="N170">
        <v>46</v>
      </c>
    </row>
    <row r="171" spans="1:14" x14ac:dyDescent="0.2">
      <c r="A171" t="s">
        <v>34</v>
      </c>
      <c r="B171">
        <v>8</v>
      </c>
      <c r="C171" s="8" t="s">
        <v>47</v>
      </c>
      <c r="D171">
        <v>2019</v>
      </c>
      <c r="E171">
        <v>125.7</v>
      </c>
      <c r="F171">
        <v>0.1734</v>
      </c>
      <c r="G171">
        <v>187713.4</v>
      </c>
      <c r="H171">
        <v>4.4999999999999998E-2</v>
      </c>
      <c r="I171">
        <v>1.0999999999999999E-2</v>
      </c>
      <c r="J171">
        <v>30148.81</v>
      </c>
      <c r="K171">
        <v>82.5</v>
      </c>
      <c r="L171" s="4">
        <v>1.1200000000000001</v>
      </c>
      <c r="M171">
        <v>1.8</v>
      </c>
      <c r="N171">
        <v>24</v>
      </c>
    </row>
    <row r="172" spans="1:14" x14ac:dyDescent="0.2">
      <c r="A172" t="s">
        <v>18</v>
      </c>
      <c r="B172">
        <v>9</v>
      </c>
      <c r="C172" s="8" t="s">
        <v>48</v>
      </c>
      <c r="D172">
        <v>2019</v>
      </c>
      <c r="E172">
        <v>113.9</v>
      </c>
      <c r="F172">
        <v>0.17780000000000001</v>
      </c>
      <c r="G172">
        <v>2240529.5</v>
      </c>
      <c r="H172">
        <v>5.2999999999999999E-2</v>
      </c>
      <c r="I172">
        <v>1.2999999999999999E-2</v>
      </c>
      <c r="J172">
        <v>66666.91</v>
      </c>
      <c r="K172">
        <v>93.1</v>
      </c>
      <c r="L172" s="4">
        <v>0.97</v>
      </c>
      <c r="M172">
        <v>-0.9</v>
      </c>
      <c r="N172">
        <v>61</v>
      </c>
    </row>
    <row r="173" spans="1:14" x14ac:dyDescent="0.2">
      <c r="A173" t="s">
        <v>14</v>
      </c>
      <c r="B173">
        <v>10</v>
      </c>
      <c r="C173" s="8" t="s">
        <v>46</v>
      </c>
      <c r="D173">
        <v>2019</v>
      </c>
      <c r="E173">
        <v>83</v>
      </c>
      <c r="F173">
        <v>0.13569999999999999</v>
      </c>
      <c r="G173">
        <v>35022.300000000003</v>
      </c>
      <c r="H173">
        <v>3.2000000000000001E-2</v>
      </c>
      <c r="I173">
        <v>2.3E-2</v>
      </c>
      <c r="J173">
        <v>59451.97</v>
      </c>
      <c r="K173">
        <v>105.9</v>
      </c>
      <c r="L173" s="4">
        <v>1.04</v>
      </c>
      <c r="M173">
        <v>5.3</v>
      </c>
      <c r="N173">
        <v>15</v>
      </c>
    </row>
    <row r="174" spans="1:14" x14ac:dyDescent="0.2">
      <c r="A174" t="s">
        <v>16</v>
      </c>
      <c r="B174">
        <v>11</v>
      </c>
      <c r="C174" s="8" t="s">
        <v>50</v>
      </c>
      <c r="D174">
        <v>2019</v>
      </c>
      <c r="E174">
        <v>86.8</v>
      </c>
      <c r="F174">
        <v>0.1595</v>
      </c>
      <c r="G174">
        <v>222612.4</v>
      </c>
      <c r="H174">
        <v>0.107</v>
      </c>
      <c r="I174">
        <v>5.0000000000000001E-3</v>
      </c>
      <c r="J174">
        <v>68681.649999999994</v>
      </c>
      <c r="K174">
        <v>73.2</v>
      </c>
      <c r="L174" s="4">
        <v>0.85</v>
      </c>
      <c r="M174">
        <v>-1</v>
      </c>
      <c r="N174">
        <v>38</v>
      </c>
    </row>
    <row r="175" spans="1:14" x14ac:dyDescent="0.2">
      <c r="A175" t="s">
        <v>17</v>
      </c>
      <c r="B175">
        <v>12</v>
      </c>
      <c r="C175" s="8" t="s">
        <v>64</v>
      </c>
      <c r="D175">
        <v>2019</v>
      </c>
      <c r="E175">
        <v>96.4</v>
      </c>
      <c r="F175">
        <v>0.24030000000000001</v>
      </c>
      <c r="G175">
        <v>1349564.1</v>
      </c>
      <c r="H175">
        <v>9.0999999999999998E-2</v>
      </c>
      <c r="I175">
        <v>8.0000000000000002E-3</v>
      </c>
      <c r="J175">
        <v>33014.69</v>
      </c>
      <c r="K175">
        <v>202.9</v>
      </c>
      <c r="L175" s="3">
        <v>1</v>
      </c>
      <c r="M175">
        <v>4.4000000000000004</v>
      </c>
      <c r="N175">
        <v>33</v>
      </c>
    </row>
    <row r="176" spans="1:14" x14ac:dyDescent="0.2">
      <c r="A176" t="s">
        <v>15</v>
      </c>
      <c r="B176">
        <v>13</v>
      </c>
      <c r="C176" s="8" t="s">
        <v>52</v>
      </c>
      <c r="D176">
        <v>2019</v>
      </c>
      <c r="E176">
        <v>134.1</v>
      </c>
      <c r="F176">
        <v>0.24229999999999999</v>
      </c>
      <c r="G176">
        <v>297811</v>
      </c>
      <c r="H176">
        <v>3.3000000000000002E-2</v>
      </c>
      <c r="I176">
        <v>9.0000000000000011E-3</v>
      </c>
      <c r="J176">
        <v>21237.86</v>
      </c>
      <c r="K176">
        <v>94.4</v>
      </c>
      <c r="L176" s="2">
        <v>1.28</v>
      </c>
      <c r="M176">
        <v>2</v>
      </c>
      <c r="N176">
        <v>46</v>
      </c>
    </row>
    <row r="177" spans="1:14" x14ac:dyDescent="0.2">
      <c r="A177" t="s">
        <v>26</v>
      </c>
      <c r="B177">
        <v>14</v>
      </c>
      <c r="C177" s="8" t="s">
        <v>57</v>
      </c>
      <c r="D177">
        <v>2019</v>
      </c>
      <c r="E177">
        <v>86.5</v>
      </c>
      <c r="F177">
        <v>0.129</v>
      </c>
      <c r="G177">
        <v>16841.599999999999</v>
      </c>
      <c r="H177">
        <v>2.7E-2</v>
      </c>
      <c r="I177">
        <v>1.4999999999999999E-2</v>
      </c>
      <c r="J177">
        <v>79864.41</v>
      </c>
      <c r="K177">
        <v>30.4</v>
      </c>
      <c r="L177" s="4">
        <v>1.18</v>
      </c>
      <c r="M177">
        <v>5.4</v>
      </c>
      <c r="N177">
        <v>15</v>
      </c>
    </row>
    <row r="178" spans="1:14" x14ac:dyDescent="0.2">
      <c r="A178" t="s">
        <v>19</v>
      </c>
      <c r="B178">
        <v>15</v>
      </c>
      <c r="C178" s="8" t="s">
        <v>42</v>
      </c>
      <c r="D178">
        <v>2019</v>
      </c>
      <c r="E178">
        <v>70.599999999999994</v>
      </c>
      <c r="F178">
        <v>0.1321</v>
      </c>
      <c r="G178">
        <v>84921.2</v>
      </c>
      <c r="H178">
        <v>3.7000000000000012E-2</v>
      </c>
      <c r="I178">
        <v>8.0000000000000002E-3</v>
      </c>
      <c r="J178">
        <v>45014.86</v>
      </c>
      <c r="K178">
        <v>44.7</v>
      </c>
      <c r="L178" s="2">
        <v>0.85</v>
      </c>
      <c r="M178">
        <v>-1.2</v>
      </c>
      <c r="N178">
        <v>6</v>
      </c>
    </row>
    <row r="179" spans="1:14" x14ac:dyDescent="0.2">
      <c r="A179" t="s">
        <v>25</v>
      </c>
      <c r="B179">
        <v>16</v>
      </c>
      <c r="C179" s="8" t="s">
        <v>51</v>
      </c>
      <c r="D179">
        <v>2019</v>
      </c>
      <c r="E179">
        <v>66</v>
      </c>
      <c r="F179">
        <v>0.112</v>
      </c>
      <c r="G179">
        <v>224620.3</v>
      </c>
      <c r="H179">
        <v>2.1000000000000001E-2</v>
      </c>
      <c r="I179">
        <v>3.4000000000000002E-2</v>
      </c>
      <c r="J179">
        <v>19921.78</v>
      </c>
      <c r="K179">
        <v>235.1</v>
      </c>
      <c r="L179" s="2">
        <v>0.7</v>
      </c>
      <c r="M179">
        <v>4.5999999999999996</v>
      </c>
      <c r="N179">
        <v>15</v>
      </c>
    </row>
    <row r="180" spans="1:14" x14ac:dyDescent="0.2">
      <c r="A180" t="s">
        <v>20</v>
      </c>
      <c r="B180">
        <v>17</v>
      </c>
      <c r="C180" s="8" t="s">
        <v>53</v>
      </c>
      <c r="D180">
        <v>2019</v>
      </c>
      <c r="E180">
        <v>103.3</v>
      </c>
      <c r="F180">
        <v>0.2301</v>
      </c>
      <c r="G180">
        <v>1812489.4</v>
      </c>
      <c r="H180">
        <v>5.7000000000000002E-2</v>
      </c>
      <c r="I180">
        <v>6.0000000000000001E-3</v>
      </c>
      <c r="J180">
        <v>20793.689999999999</v>
      </c>
      <c r="K180">
        <v>107.1</v>
      </c>
      <c r="L180" s="4">
        <v>1.08</v>
      </c>
      <c r="M180">
        <v>1.5</v>
      </c>
      <c r="N180">
        <v>61</v>
      </c>
    </row>
    <row r="181" spans="1:14" x14ac:dyDescent="0.2">
      <c r="A181" t="s">
        <v>27</v>
      </c>
      <c r="B181">
        <v>18</v>
      </c>
      <c r="C181" s="8" t="s">
        <v>58</v>
      </c>
      <c r="D181">
        <v>2019</v>
      </c>
      <c r="E181">
        <v>114.4</v>
      </c>
      <c r="F181">
        <v>0.20669999999999999</v>
      </c>
      <c r="G181">
        <v>703234.1</v>
      </c>
      <c r="H181">
        <v>3.3000000000000002E-2</v>
      </c>
      <c r="I181">
        <v>2.7E-2</v>
      </c>
      <c r="J181">
        <v>94772.17</v>
      </c>
      <c r="K181">
        <v>1548.3</v>
      </c>
      <c r="L181" s="2">
        <v>1.17</v>
      </c>
      <c r="M181">
        <v>3.1</v>
      </c>
      <c r="N181">
        <v>61</v>
      </c>
    </row>
    <row r="182" spans="1:14" x14ac:dyDescent="0.2">
      <c r="A182" t="s">
        <v>23</v>
      </c>
      <c r="B182">
        <v>19</v>
      </c>
      <c r="C182" s="8" t="s">
        <v>55</v>
      </c>
      <c r="D182">
        <v>2019</v>
      </c>
      <c r="E182">
        <v>67.5</v>
      </c>
      <c r="F182">
        <v>0.1255</v>
      </c>
      <c r="G182">
        <v>74155.100000000006</v>
      </c>
      <c r="H182">
        <v>4.3999999999999997E-2</v>
      </c>
      <c r="I182">
        <v>2.1999999999999999E-2</v>
      </c>
      <c r="J182">
        <v>39764.379999999997</v>
      </c>
      <c r="K182">
        <v>504</v>
      </c>
      <c r="L182" s="2">
        <v>0.93</v>
      </c>
      <c r="M182">
        <v>6.1</v>
      </c>
      <c r="N182">
        <v>15</v>
      </c>
    </row>
    <row r="183" spans="1:14" x14ac:dyDescent="0.2">
      <c r="A183" t="s">
        <v>24</v>
      </c>
      <c r="B183">
        <v>20</v>
      </c>
      <c r="C183" s="8" t="s">
        <v>56</v>
      </c>
      <c r="D183">
        <v>2019</v>
      </c>
      <c r="E183">
        <v>126.9</v>
      </c>
      <c r="F183">
        <v>0.17979999999999999</v>
      </c>
      <c r="G183">
        <v>48936.800000000003</v>
      </c>
      <c r="H183">
        <v>3.7000000000000012E-2</v>
      </c>
      <c r="I183">
        <v>1.6E-2</v>
      </c>
      <c r="J183">
        <v>79787.48</v>
      </c>
      <c r="K183">
        <v>107.1</v>
      </c>
      <c r="L183" s="4">
        <v>1.32</v>
      </c>
      <c r="M183">
        <v>2.7</v>
      </c>
      <c r="N183">
        <v>61</v>
      </c>
    </row>
    <row r="184" spans="1:14" x14ac:dyDescent="0.2">
      <c r="A184" t="s">
        <v>22</v>
      </c>
      <c r="B184">
        <v>21</v>
      </c>
      <c r="C184" s="8" t="s">
        <v>54</v>
      </c>
      <c r="D184">
        <v>2019</v>
      </c>
      <c r="E184">
        <v>76.7</v>
      </c>
      <c r="F184">
        <v>0.16289999999999999</v>
      </c>
      <c r="G184">
        <v>40074.9</v>
      </c>
      <c r="H184">
        <v>4.3999999999999997E-2</v>
      </c>
      <c r="I184">
        <v>2.7E-2</v>
      </c>
      <c r="J184">
        <v>23202.880000000001</v>
      </c>
      <c r="K184">
        <v>123.6</v>
      </c>
      <c r="L184" s="4">
        <v>0.92</v>
      </c>
      <c r="M184">
        <v>6.7</v>
      </c>
      <c r="N184">
        <v>15</v>
      </c>
    </row>
    <row r="185" spans="1:14" x14ac:dyDescent="0.2">
      <c r="A185" t="s">
        <v>29</v>
      </c>
      <c r="B185">
        <v>22</v>
      </c>
      <c r="C185" s="8" t="s">
        <v>59</v>
      </c>
      <c r="D185">
        <v>2019</v>
      </c>
      <c r="E185">
        <v>59.6</v>
      </c>
      <c r="F185">
        <v>0.1343</v>
      </c>
      <c r="G185">
        <v>885924.7</v>
      </c>
      <c r="H185">
        <v>0.02</v>
      </c>
      <c r="I185">
        <v>2.1000000000000001E-2</v>
      </c>
      <c r="J185">
        <v>26846.799999999999</v>
      </c>
      <c r="K185">
        <v>113</v>
      </c>
      <c r="L185" s="2">
        <v>0.79</v>
      </c>
      <c r="M185">
        <v>3.6</v>
      </c>
      <c r="N185">
        <v>15</v>
      </c>
    </row>
    <row r="186" spans="1:14" x14ac:dyDescent="0.2">
      <c r="A186" t="s">
        <v>30</v>
      </c>
      <c r="B186">
        <f>B174+1</f>
        <v>12</v>
      </c>
      <c r="C186" s="8" t="s">
        <v>60</v>
      </c>
      <c r="D186">
        <v>2019</v>
      </c>
      <c r="E186">
        <v>88.2</v>
      </c>
      <c r="F186">
        <v>0.215</v>
      </c>
      <c r="G186">
        <v>253296.4</v>
      </c>
      <c r="H186">
        <v>4.2999999999999997E-2</v>
      </c>
      <c r="I186">
        <v>3.0000000000000001E-3</v>
      </c>
      <c r="J186">
        <v>14885.58</v>
      </c>
      <c r="K186">
        <v>83.1</v>
      </c>
      <c r="L186" s="4">
        <v>1.02</v>
      </c>
      <c r="M186">
        <v>3.2</v>
      </c>
      <c r="N186">
        <v>33</v>
      </c>
    </row>
    <row r="187" spans="1:14" x14ac:dyDescent="0.2">
      <c r="A187" t="s">
        <v>31</v>
      </c>
      <c r="B187">
        <v>24</v>
      </c>
      <c r="C187" s="8" t="s">
        <v>61</v>
      </c>
      <c r="D187">
        <v>2019</v>
      </c>
      <c r="E187">
        <v>55.7</v>
      </c>
      <c r="F187">
        <v>0.1358</v>
      </c>
      <c r="G187">
        <v>423772.4</v>
      </c>
      <c r="H187">
        <v>2.7E-2</v>
      </c>
      <c r="I187">
        <v>3.9E-2</v>
      </c>
      <c r="J187">
        <v>21066.28</v>
      </c>
      <c r="K187">
        <v>102.9</v>
      </c>
      <c r="L187" s="2">
        <v>0.62</v>
      </c>
      <c r="M187">
        <v>7.2</v>
      </c>
      <c r="N187">
        <v>12</v>
      </c>
    </row>
    <row r="188" spans="1:14" x14ac:dyDescent="0.2">
      <c r="A188" t="s">
        <v>35</v>
      </c>
      <c r="B188">
        <v>25</v>
      </c>
      <c r="C188" s="8" t="s">
        <v>65</v>
      </c>
      <c r="D188">
        <v>2019</v>
      </c>
      <c r="E188">
        <v>125.1</v>
      </c>
      <c r="F188">
        <v>0.20330000000000001</v>
      </c>
      <c r="G188">
        <v>381330.1</v>
      </c>
      <c r="H188">
        <v>0.05</v>
      </c>
      <c r="I188">
        <v>1.7000000000000001E-2</v>
      </c>
      <c r="J188">
        <v>28723.48</v>
      </c>
      <c r="K188">
        <v>111.8</v>
      </c>
      <c r="L188" s="2">
        <v>1.1200000000000001</v>
      </c>
      <c r="M188">
        <v>1</v>
      </c>
      <c r="N188">
        <v>24</v>
      </c>
    </row>
    <row r="189" spans="1:14" x14ac:dyDescent="0.2">
      <c r="A189" t="s">
        <v>32</v>
      </c>
      <c r="B189">
        <v>26</v>
      </c>
      <c r="C189" s="8" t="s">
        <v>63</v>
      </c>
      <c r="D189">
        <v>2019</v>
      </c>
      <c r="E189">
        <v>87.1</v>
      </c>
      <c r="F189">
        <v>0.16339999999999999</v>
      </c>
      <c r="G189">
        <v>57547.9</v>
      </c>
      <c r="H189">
        <v>2.9000000000000001E-2</v>
      </c>
      <c r="I189">
        <v>1.7000000000000001E-2</v>
      </c>
      <c r="J189">
        <v>43907.18</v>
      </c>
      <c r="K189">
        <v>18.100000000000001</v>
      </c>
      <c r="L189" s="4">
        <v>0.89</v>
      </c>
      <c r="M189">
        <v>4.0999999999999996</v>
      </c>
      <c r="N189">
        <v>15</v>
      </c>
    </row>
    <row r="190" spans="1:14" x14ac:dyDescent="0.2">
      <c r="A190" t="s">
        <v>33</v>
      </c>
      <c r="B190">
        <v>27</v>
      </c>
      <c r="C190" s="8" t="s">
        <v>62</v>
      </c>
      <c r="D190">
        <v>2019</v>
      </c>
      <c r="E190">
        <v>84.5</v>
      </c>
      <c r="F190">
        <v>0.15770000000000001</v>
      </c>
      <c r="G190">
        <v>120545.2</v>
      </c>
      <c r="H190">
        <v>3.7999999999999999E-2</v>
      </c>
      <c r="I190">
        <v>2.8000000000000001E-2</v>
      </c>
      <c r="J190">
        <v>67858.27</v>
      </c>
      <c r="K190">
        <v>25</v>
      </c>
      <c r="L190" s="2">
        <v>0.68</v>
      </c>
      <c r="M190">
        <v>5.6</v>
      </c>
      <c r="N190">
        <v>15</v>
      </c>
    </row>
    <row r="191" spans="1:14" x14ac:dyDescent="0.2">
      <c r="A191" t="s">
        <v>28</v>
      </c>
      <c r="B191">
        <v>1</v>
      </c>
      <c r="C191" s="8" t="s">
        <v>39</v>
      </c>
      <c r="D191">
        <v>2020</v>
      </c>
      <c r="E191">
        <v>113.2</v>
      </c>
      <c r="F191">
        <v>0.21110000000000001</v>
      </c>
      <c r="G191">
        <v>333337.3</v>
      </c>
      <c r="H191">
        <v>4.0999999999999988E-2</v>
      </c>
      <c r="I191">
        <v>1.4E-2</v>
      </c>
      <c r="J191">
        <v>74952.73</v>
      </c>
      <c r="K191">
        <v>377.3</v>
      </c>
      <c r="L191" s="4">
        <v>0.94</v>
      </c>
      <c r="M191">
        <v>7.2</v>
      </c>
      <c r="N191">
        <v>25</v>
      </c>
    </row>
    <row r="192" spans="1:14" x14ac:dyDescent="0.2">
      <c r="A192" t="s">
        <v>9</v>
      </c>
      <c r="B192">
        <v>2</v>
      </c>
      <c r="C192" s="8" t="s">
        <v>40</v>
      </c>
      <c r="D192">
        <v>2020</v>
      </c>
      <c r="E192">
        <v>114.9</v>
      </c>
      <c r="F192">
        <v>0.2792</v>
      </c>
      <c r="G192">
        <v>413634.9</v>
      </c>
      <c r="H192">
        <v>3.4000000000000002E-2</v>
      </c>
      <c r="I192">
        <v>4.0000000000000001E-3</v>
      </c>
      <c r="J192">
        <v>66552.41</v>
      </c>
      <c r="K192">
        <v>63.4</v>
      </c>
      <c r="L192" s="2">
        <v>1.04</v>
      </c>
      <c r="M192">
        <v>1.5</v>
      </c>
      <c r="N192">
        <v>62</v>
      </c>
    </row>
    <row r="193" spans="1:14" x14ac:dyDescent="0.2">
      <c r="A193" t="s">
        <v>10</v>
      </c>
      <c r="B193">
        <v>3</v>
      </c>
      <c r="C193" s="8" t="s">
        <v>41</v>
      </c>
      <c r="D193">
        <v>2020</v>
      </c>
      <c r="E193">
        <v>53.6</v>
      </c>
      <c r="F193">
        <v>9.9699999999999997E-2</v>
      </c>
      <c r="G193">
        <v>114555.3</v>
      </c>
      <c r="H193">
        <v>3.7000000000000012E-2</v>
      </c>
      <c r="I193">
        <v>1.2E-2</v>
      </c>
      <c r="J193">
        <v>13266.45</v>
      </c>
      <c r="K193">
        <v>138.19999999999999</v>
      </c>
      <c r="L193" s="4">
        <v>0.66</v>
      </c>
      <c r="M193">
        <v>8.5</v>
      </c>
      <c r="N193">
        <v>13</v>
      </c>
    </row>
    <row r="194" spans="1:14" x14ac:dyDescent="0.2">
      <c r="A194" t="s">
        <v>21</v>
      </c>
      <c r="B194">
        <v>4</v>
      </c>
      <c r="C194" s="8" t="s">
        <v>44</v>
      </c>
      <c r="D194">
        <v>2020</v>
      </c>
      <c r="E194">
        <v>91.3</v>
      </c>
      <c r="F194">
        <v>0.21329999999999999</v>
      </c>
      <c r="G194">
        <v>24702.7</v>
      </c>
      <c r="H194">
        <v>5.1999999999999998E-2</v>
      </c>
      <c r="I194">
        <v>-1.0999999999999999E-2</v>
      </c>
      <c r="J194">
        <v>21548.9</v>
      </c>
      <c r="K194">
        <v>138.5</v>
      </c>
      <c r="L194" s="3">
        <v>1</v>
      </c>
      <c r="M194">
        <v>3.5</v>
      </c>
      <c r="N194">
        <v>16</v>
      </c>
    </row>
    <row r="195" spans="1:14" x14ac:dyDescent="0.2">
      <c r="A195" t="s">
        <v>11</v>
      </c>
      <c r="B195">
        <v>5</v>
      </c>
      <c r="C195" s="8" t="s">
        <v>43</v>
      </c>
      <c r="D195">
        <v>2020</v>
      </c>
      <c r="E195">
        <v>75.099999999999994</v>
      </c>
      <c r="F195">
        <v>0.18410000000000001</v>
      </c>
      <c r="G195">
        <v>306410.09999999998</v>
      </c>
      <c r="H195">
        <v>1.7000000000000001E-2</v>
      </c>
      <c r="I195">
        <v>3.3000000000000002E-2</v>
      </c>
      <c r="J195">
        <v>40888.57</v>
      </c>
      <c r="K195">
        <v>235.2</v>
      </c>
      <c r="L195" s="2">
        <v>0.81</v>
      </c>
      <c r="M195">
        <v>7.2</v>
      </c>
      <c r="N195">
        <v>16</v>
      </c>
    </row>
    <row r="196" spans="1:14" x14ac:dyDescent="0.2">
      <c r="A196" t="s">
        <v>13</v>
      </c>
      <c r="B196">
        <v>6</v>
      </c>
      <c r="C196" s="8" t="s">
        <v>49</v>
      </c>
      <c r="D196">
        <v>2020</v>
      </c>
      <c r="E196">
        <v>107</v>
      </c>
      <c r="F196">
        <v>0.30430000000000001</v>
      </c>
      <c r="G196">
        <v>3117455.2</v>
      </c>
      <c r="H196">
        <v>2.5000000000000001E-2</v>
      </c>
      <c r="I196">
        <v>4.0000000000000001E-3</v>
      </c>
      <c r="J196">
        <v>26634.41</v>
      </c>
      <c r="K196">
        <v>30.5</v>
      </c>
      <c r="L196" s="2">
        <v>1.06</v>
      </c>
      <c r="M196">
        <v>3.2</v>
      </c>
      <c r="N196">
        <v>62</v>
      </c>
    </row>
    <row r="197" spans="1:14" x14ac:dyDescent="0.2">
      <c r="A197" t="s">
        <v>12</v>
      </c>
      <c r="B197">
        <v>7</v>
      </c>
      <c r="C197" s="8" t="s">
        <v>45</v>
      </c>
      <c r="D197">
        <v>2020</v>
      </c>
      <c r="E197">
        <v>143.4</v>
      </c>
      <c r="F197">
        <v>0.2833</v>
      </c>
      <c r="G197">
        <v>233487.6</v>
      </c>
      <c r="H197">
        <v>3.9E-2</v>
      </c>
      <c r="I197">
        <v>3.0000000000000001E-3</v>
      </c>
      <c r="J197">
        <v>79278.41</v>
      </c>
      <c r="K197">
        <v>71.900000000000006</v>
      </c>
      <c r="L197" s="4">
        <v>1.2</v>
      </c>
      <c r="M197">
        <v>3.2</v>
      </c>
      <c r="N197">
        <v>47</v>
      </c>
    </row>
    <row r="198" spans="1:14" x14ac:dyDescent="0.2">
      <c r="A198" t="s">
        <v>34</v>
      </c>
      <c r="B198">
        <v>8</v>
      </c>
      <c r="C198" s="8" t="s">
        <v>47</v>
      </c>
      <c r="D198">
        <v>2020</v>
      </c>
      <c r="E198">
        <v>126.3</v>
      </c>
      <c r="F198">
        <v>0.17399999999999999</v>
      </c>
      <c r="G198">
        <v>188249.7</v>
      </c>
      <c r="H198">
        <v>5.0999999999999997E-2</v>
      </c>
      <c r="I198">
        <v>4.0000000000000001E-3</v>
      </c>
      <c r="J198">
        <v>30698.84</v>
      </c>
      <c r="K198">
        <v>82.4</v>
      </c>
      <c r="L198" s="4">
        <v>1.07</v>
      </c>
      <c r="M198">
        <v>0.6</v>
      </c>
      <c r="N198">
        <v>25</v>
      </c>
    </row>
    <row r="199" spans="1:14" x14ac:dyDescent="0.2">
      <c r="A199" t="s">
        <v>18</v>
      </c>
      <c r="B199">
        <v>9</v>
      </c>
      <c r="C199" s="8" t="s">
        <v>48</v>
      </c>
      <c r="D199">
        <v>2020</v>
      </c>
      <c r="E199">
        <v>113.4</v>
      </c>
      <c r="F199">
        <v>0.1893</v>
      </c>
      <c r="G199">
        <v>2136719.2000000002</v>
      </c>
      <c r="H199">
        <v>0.05</v>
      </c>
      <c r="I199">
        <v>5.0000000000000001E-3</v>
      </c>
      <c r="J199">
        <v>68780.600000000006</v>
      </c>
      <c r="K199">
        <v>93.8</v>
      </c>
      <c r="L199" s="4">
        <v>0.92</v>
      </c>
      <c r="M199">
        <v>4.4000000000000004</v>
      </c>
      <c r="N199">
        <v>62</v>
      </c>
    </row>
    <row r="200" spans="1:14" x14ac:dyDescent="0.2">
      <c r="A200" t="s">
        <v>14</v>
      </c>
      <c r="B200">
        <v>10</v>
      </c>
      <c r="C200" s="8" t="s">
        <v>46</v>
      </c>
      <c r="D200">
        <v>2020</v>
      </c>
      <c r="E200">
        <v>84.9</v>
      </c>
      <c r="F200">
        <v>0.1236</v>
      </c>
      <c r="G200">
        <v>34541.300000000003</v>
      </c>
      <c r="H200">
        <v>0.05</v>
      </c>
      <c r="I200">
        <v>-6.0000000000000001E-3</v>
      </c>
      <c r="J200">
        <v>58096.82</v>
      </c>
      <c r="K200">
        <v>106.1</v>
      </c>
      <c r="L200" s="4">
        <v>0.98</v>
      </c>
      <c r="M200">
        <v>4.4000000000000004</v>
      </c>
      <c r="N200">
        <v>16</v>
      </c>
    </row>
    <row r="201" spans="1:14" x14ac:dyDescent="0.2">
      <c r="A201" t="s">
        <v>16</v>
      </c>
      <c r="B201">
        <v>11</v>
      </c>
      <c r="C201" s="8" t="s">
        <v>50</v>
      </c>
      <c r="D201">
        <v>2020</v>
      </c>
      <c r="E201">
        <v>86.9</v>
      </c>
      <c r="F201">
        <v>0.16739999999999999</v>
      </c>
      <c r="G201">
        <v>201828.3</v>
      </c>
      <c r="H201">
        <v>0.1</v>
      </c>
      <c r="I201">
        <v>-1.2999999999999999E-2</v>
      </c>
      <c r="J201">
        <v>68534.23</v>
      </c>
      <c r="K201">
        <v>72.8</v>
      </c>
      <c r="L201" s="4">
        <v>0.77</v>
      </c>
      <c r="M201">
        <v>7.2</v>
      </c>
      <c r="N201">
        <v>39</v>
      </c>
    </row>
    <row r="202" spans="1:14" x14ac:dyDescent="0.2">
      <c r="A202" t="s">
        <v>17</v>
      </c>
      <c r="B202">
        <v>12</v>
      </c>
      <c r="C202" s="8" t="s">
        <v>64</v>
      </c>
      <c r="D202">
        <v>2020</v>
      </c>
      <c r="E202">
        <v>96</v>
      </c>
      <c r="F202">
        <v>0.22389999999999999</v>
      </c>
      <c r="G202">
        <v>1189742.1000000001</v>
      </c>
      <c r="H202">
        <v>9.9000000000000005E-2</v>
      </c>
      <c r="I202">
        <v>-3.0000000000000001E-3</v>
      </c>
      <c r="J202">
        <v>31074.14</v>
      </c>
      <c r="K202">
        <v>201.5</v>
      </c>
      <c r="L202" s="2">
        <v>0.91</v>
      </c>
      <c r="M202">
        <v>6.4</v>
      </c>
      <c r="N202">
        <v>34</v>
      </c>
    </row>
    <row r="203" spans="1:14" x14ac:dyDescent="0.2">
      <c r="A203" t="s">
        <v>15</v>
      </c>
      <c r="B203">
        <v>13</v>
      </c>
      <c r="C203" s="8" t="s">
        <v>52</v>
      </c>
      <c r="D203">
        <v>2020</v>
      </c>
      <c r="E203">
        <v>136.30000000000001</v>
      </c>
      <c r="F203">
        <v>0.2409</v>
      </c>
      <c r="G203">
        <v>314843.3</v>
      </c>
      <c r="H203">
        <v>3.7999999999999999E-2</v>
      </c>
      <c r="I203">
        <v>-5.0000000000000001E-3</v>
      </c>
      <c r="J203">
        <v>21373.69</v>
      </c>
      <c r="K203">
        <v>95.7</v>
      </c>
      <c r="L203" s="2">
        <v>1.23</v>
      </c>
      <c r="M203">
        <v>-8.4</v>
      </c>
      <c r="N203">
        <v>47</v>
      </c>
    </row>
    <row r="204" spans="1:14" x14ac:dyDescent="0.2">
      <c r="A204" t="s">
        <v>26</v>
      </c>
      <c r="B204">
        <v>14</v>
      </c>
      <c r="C204" s="8" t="s">
        <v>57</v>
      </c>
      <c r="D204">
        <v>2020</v>
      </c>
      <c r="E204">
        <v>86.5</v>
      </c>
      <c r="F204">
        <v>0.12839999999999999</v>
      </c>
      <c r="G204">
        <v>16460.099999999999</v>
      </c>
      <c r="H204">
        <v>3.2000000000000001E-2</v>
      </c>
      <c r="I204">
        <v>8.0000000000000002E-3</v>
      </c>
      <c r="J204">
        <v>81045.42</v>
      </c>
      <c r="K204">
        <v>30.2</v>
      </c>
      <c r="L204" s="4">
        <v>1.08</v>
      </c>
      <c r="M204">
        <v>7.4</v>
      </c>
      <c r="N204">
        <v>16</v>
      </c>
    </row>
    <row r="205" spans="1:14" x14ac:dyDescent="0.2">
      <c r="A205" t="s">
        <v>19</v>
      </c>
      <c r="B205">
        <v>15</v>
      </c>
      <c r="C205" s="8" t="s">
        <v>42</v>
      </c>
      <c r="D205">
        <v>2020</v>
      </c>
      <c r="E205">
        <v>71.3</v>
      </c>
      <c r="F205">
        <v>0.13009999999999999</v>
      </c>
      <c r="G205">
        <v>78999.100000000006</v>
      </c>
      <c r="H205">
        <v>4.2000000000000003E-2</v>
      </c>
      <c r="I205">
        <v>0</v>
      </c>
      <c r="J205">
        <v>47426.32</v>
      </c>
      <c r="K205">
        <v>44.6</v>
      </c>
      <c r="L205" s="2">
        <v>0.81</v>
      </c>
      <c r="M205">
        <v>8.9</v>
      </c>
      <c r="N205">
        <v>7</v>
      </c>
    </row>
    <row r="206" spans="1:14" x14ac:dyDescent="0.2">
      <c r="A206" t="s">
        <v>25</v>
      </c>
      <c r="B206">
        <v>16</v>
      </c>
      <c r="C206" s="8" t="s">
        <v>51</v>
      </c>
      <c r="D206">
        <v>2020</v>
      </c>
      <c r="E206">
        <v>67.400000000000006</v>
      </c>
      <c r="F206">
        <v>0.1031</v>
      </c>
      <c r="G206">
        <v>219806.3</v>
      </c>
      <c r="H206">
        <v>2.7E-2</v>
      </c>
      <c r="I206">
        <v>3.4000000000000002E-2</v>
      </c>
      <c r="J206">
        <v>21303.37</v>
      </c>
      <c r="K206">
        <v>239.8</v>
      </c>
      <c r="L206" s="2">
        <v>0.68</v>
      </c>
      <c r="M206">
        <v>6.1</v>
      </c>
      <c r="N206">
        <v>16</v>
      </c>
    </row>
    <row r="207" spans="1:14" x14ac:dyDescent="0.2">
      <c r="A207" t="s">
        <v>20</v>
      </c>
      <c r="B207">
        <v>17</v>
      </c>
      <c r="C207" s="8" t="s">
        <v>53</v>
      </c>
      <c r="D207">
        <v>2020</v>
      </c>
      <c r="E207">
        <v>101.6</v>
      </c>
      <c r="F207">
        <v>0.22259999999999999</v>
      </c>
      <c r="G207">
        <v>1687127.8</v>
      </c>
      <c r="H207">
        <v>5.1999999999999998E-2</v>
      </c>
      <c r="I207">
        <v>-1E-3</v>
      </c>
      <c r="J207">
        <v>23256.57</v>
      </c>
      <c r="K207">
        <v>107.1</v>
      </c>
      <c r="L207" s="5">
        <v>1</v>
      </c>
      <c r="M207">
        <v>1.9</v>
      </c>
      <c r="N207">
        <v>62</v>
      </c>
    </row>
    <row r="208" spans="1:14" x14ac:dyDescent="0.2">
      <c r="A208" t="s">
        <v>27</v>
      </c>
      <c r="B208">
        <v>18</v>
      </c>
      <c r="C208" s="8" t="s">
        <v>58</v>
      </c>
      <c r="D208">
        <v>2020</v>
      </c>
      <c r="E208">
        <v>117.1</v>
      </c>
      <c r="F208">
        <v>0.14269999999999999</v>
      </c>
      <c r="G208">
        <v>697396.5</v>
      </c>
      <c r="H208">
        <v>3.5999999999999997E-2</v>
      </c>
      <c r="I208">
        <v>1.0999999999999999E-2</v>
      </c>
      <c r="J208">
        <v>98219.38</v>
      </c>
      <c r="K208">
        <v>1595.1</v>
      </c>
      <c r="L208" s="2">
        <v>1.08</v>
      </c>
      <c r="M208">
        <v>6.9</v>
      </c>
      <c r="N208">
        <v>62</v>
      </c>
    </row>
    <row r="209" spans="1:14" x14ac:dyDescent="0.2">
      <c r="A209" t="s">
        <v>23</v>
      </c>
      <c r="B209">
        <v>19</v>
      </c>
      <c r="C209" s="8" t="s">
        <v>55</v>
      </c>
      <c r="D209">
        <v>2020</v>
      </c>
      <c r="E209">
        <v>68</v>
      </c>
      <c r="F209">
        <v>0.1426</v>
      </c>
      <c r="G209">
        <v>74074.2</v>
      </c>
      <c r="H209">
        <v>0.06</v>
      </c>
      <c r="I209">
        <v>1.0999999999999999E-2</v>
      </c>
      <c r="J209">
        <v>40855.800000000003</v>
      </c>
      <c r="K209">
        <v>507.3</v>
      </c>
      <c r="L209" s="2">
        <v>0.92</v>
      </c>
      <c r="M209">
        <v>4.0999999999999996</v>
      </c>
      <c r="N209">
        <v>16</v>
      </c>
    </row>
    <row r="210" spans="1:14" x14ac:dyDescent="0.2">
      <c r="A210" t="s">
        <v>24</v>
      </c>
      <c r="B210">
        <v>20</v>
      </c>
      <c r="C210" s="8" t="s">
        <v>56</v>
      </c>
      <c r="D210">
        <v>2020</v>
      </c>
      <c r="E210">
        <v>132</v>
      </c>
      <c r="F210">
        <v>0.1986</v>
      </c>
      <c r="G210">
        <v>49155.4</v>
      </c>
      <c r="H210">
        <v>4.3999999999999997E-2</v>
      </c>
      <c r="I210">
        <v>0</v>
      </c>
      <c r="J210">
        <v>83321.740000000005</v>
      </c>
      <c r="K210">
        <v>107.6</v>
      </c>
      <c r="L210" s="4">
        <v>1.27</v>
      </c>
      <c r="M210">
        <v>3.2</v>
      </c>
      <c r="N210">
        <v>62</v>
      </c>
    </row>
    <row r="211" spans="1:14" x14ac:dyDescent="0.2">
      <c r="A211" t="s">
        <v>22</v>
      </c>
      <c r="B211">
        <v>21</v>
      </c>
      <c r="C211" s="8" t="s">
        <v>54</v>
      </c>
      <c r="D211">
        <v>2020</v>
      </c>
      <c r="E211">
        <v>77.900000000000006</v>
      </c>
      <c r="F211">
        <v>0.14199999999999999</v>
      </c>
      <c r="G211">
        <v>39746.6</v>
      </c>
      <c r="H211">
        <v>5.7000000000000002E-2</v>
      </c>
      <c r="I211">
        <v>1E-3</v>
      </c>
      <c r="J211">
        <v>26089.21</v>
      </c>
      <c r="K211">
        <v>123.6</v>
      </c>
      <c r="L211" s="4">
        <v>0.9</v>
      </c>
      <c r="M211">
        <v>5.0999999999999996</v>
      </c>
      <c r="N211">
        <v>16</v>
      </c>
    </row>
    <row r="212" spans="1:14" x14ac:dyDescent="0.2">
      <c r="A212" t="s">
        <v>29</v>
      </c>
      <c r="B212">
        <v>22</v>
      </c>
      <c r="C212" s="8" t="s">
        <v>59</v>
      </c>
      <c r="D212">
        <v>2020</v>
      </c>
      <c r="E212">
        <v>59.9</v>
      </c>
      <c r="F212">
        <v>0.14749999999999999</v>
      </c>
      <c r="G212">
        <v>888809.5</v>
      </c>
      <c r="H212">
        <v>1.9E-2</v>
      </c>
      <c r="I212">
        <v>3.7000000000000012E-2</v>
      </c>
      <c r="J212">
        <v>27069.57</v>
      </c>
      <c r="K212">
        <v>113</v>
      </c>
      <c r="L212" s="2">
        <v>0.81</v>
      </c>
      <c r="M212">
        <v>6.9</v>
      </c>
      <c r="N212">
        <v>16</v>
      </c>
    </row>
    <row r="213" spans="1:14" x14ac:dyDescent="0.2">
      <c r="A213" t="s">
        <v>30</v>
      </c>
      <c r="B213">
        <f>B201+1</f>
        <v>12</v>
      </c>
      <c r="C213" s="8" t="s">
        <v>60</v>
      </c>
      <c r="D213">
        <v>2020</v>
      </c>
      <c r="E213">
        <v>87.9</v>
      </c>
      <c r="F213">
        <v>0.21199999999999999</v>
      </c>
      <c r="G213">
        <v>236570.9</v>
      </c>
      <c r="H213">
        <v>4.4999999999999998E-2</v>
      </c>
      <c r="I213">
        <v>-1E-3</v>
      </c>
      <c r="J213">
        <v>16003.32</v>
      </c>
      <c r="K213">
        <v>82.7</v>
      </c>
      <c r="L213" s="4">
        <v>0.94</v>
      </c>
      <c r="M213">
        <v>7.9</v>
      </c>
      <c r="N213">
        <v>34</v>
      </c>
    </row>
    <row r="214" spans="1:14" x14ac:dyDescent="0.2">
      <c r="A214" t="s">
        <v>31</v>
      </c>
      <c r="B214">
        <v>24</v>
      </c>
      <c r="C214" s="8" t="s">
        <v>61</v>
      </c>
      <c r="D214">
        <v>2020</v>
      </c>
      <c r="E214">
        <v>55.5</v>
      </c>
      <c r="F214">
        <v>0.1459</v>
      </c>
      <c r="G214">
        <v>423159.8</v>
      </c>
      <c r="H214">
        <v>3.4000000000000002E-2</v>
      </c>
      <c r="I214">
        <v>2.3E-2</v>
      </c>
      <c r="J214">
        <v>21645.759999999998</v>
      </c>
      <c r="K214">
        <v>103.7</v>
      </c>
      <c r="L214" s="2">
        <v>0.62</v>
      </c>
      <c r="M214">
        <v>6.2</v>
      </c>
      <c r="N214">
        <v>13</v>
      </c>
    </row>
    <row r="215" spans="1:14" x14ac:dyDescent="0.2">
      <c r="A215" t="s">
        <v>35</v>
      </c>
      <c r="B215">
        <v>25</v>
      </c>
      <c r="C215" s="8" t="s">
        <v>65</v>
      </c>
      <c r="D215">
        <v>2020</v>
      </c>
      <c r="E215">
        <v>123.2</v>
      </c>
      <c r="F215">
        <v>0.19139999999999999</v>
      </c>
      <c r="G215">
        <v>380204.3</v>
      </c>
      <c r="H215">
        <v>6.2E-2</v>
      </c>
      <c r="I215">
        <v>6.9999999999999993E-3</v>
      </c>
      <c r="J215">
        <v>29889.63</v>
      </c>
      <c r="K215">
        <v>112</v>
      </c>
      <c r="L215" s="3">
        <v>1</v>
      </c>
      <c r="M215">
        <v>3.1</v>
      </c>
      <c r="N215">
        <v>25</v>
      </c>
    </row>
    <row r="216" spans="1:14" x14ac:dyDescent="0.2">
      <c r="A216" t="s">
        <v>32</v>
      </c>
      <c r="B216">
        <v>26</v>
      </c>
      <c r="C216" s="8" t="s">
        <v>63</v>
      </c>
      <c r="D216">
        <v>2020</v>
      </c>
      <c r="E216">
        <v>86.9</v>
      </c>
      <c r="F216">
        <v>0.14480000000000001</v>
      </c>
      <c r="G216">
        <v>56092</v>
      </c>
      <c r="H216">
        <v>3.2000000000000001E-2</v>
      </c>
      <c r="I216">
        <v>-3.0000000000000001E-3</v>
      </c>
      <c r="J216">
        <v>42209.15</v>
      </c>
      <c r="K216">
        <v>18.2</v>
      </c>
      <c r="L216" s="4">
        <v>0.85</v>
      </c>
      <c r="M216">
        <v>7</v>
      </c>
      <c r="N216">
        <v>16</v>
      </c>
    </row>
    <row r="217" spans="1:14" x14ac:dyDescent="0.2">
      <c r="A217" t="s">
        <v>33</v>
      </c>
      <c r="B217">
        <v>27</v>
      </c>
      <c r="C217" s="8" t="s">
        <v>62</v>
      </c>
      <c r="D217">
        <v>2020</v>
      </c>
      <c r="E217">
        <v>86</v>
      </c>
      <c r="F217">
        <v>0.1686</v>
      </c>
      <c r="G217">
        <v>123186.7</v>
      </c>
      <c r="H217">
        <v>4.3999999999999997E-2</v>
      </c>
      <c r="I217">
        <v>0.02</v>
      </c>
      <c r="J217">
        <v>69766.33</v>
      </c>
      <c r="K217">
        <v>25.2</v>
      </c>
      <c r="L217" s="2">
        <v>0.67</v>
      </c>
      <c r="M217">
        <v>4</v>
      </c>
      <c r="N217">
        <v>16</v>
      </c>
    </row>
    <row r="218" spans="1:14" x14ac:dyDescent="0.2">
      <c r="A218" t="s">
        <v>28</v>
      </c>
      <c r="B218">
        <v>1</v>
      </c>
      <c r="C218" s="8" t="s">
        <v>39</v>
      </c>
      <c r="D218">
        <v>2021</v>
      </c>
      <c r="E218">
        <v>111.7</v>
      </c>
      <c r="F218">
        <v>0.22159999999999999</v>
      </c>
      <c r="G218">
        <v>359717.1</v>
      </c>
      <c r="H218">
        <v>4.2000000000000003E-2</v>
      </c>
      <c r="I218">
        <v>2.8000000000000001E-2</v>
      </c>
      <c r="J218">
        <v>75592.41</v>
      </c>
      <c r="K218">
        <v>377.3</v>
      </c>
      <c r="L218" s="4">
        <v>0.94</v>
      </c>
      <c r="M218">
        <v>-0.5</v>
      </c>
      <c r="N218">
        <v>26</v>
      </c>
    </row>
    <row r="219" spans="1:14" x14ac:dyDescent="0.2">
      <c r="A219" t="s">
        <v>9</v>
      </c>
      <c r="B219">
        <v>2</v>
      </c>
      <c r="C219" s="8" t="s">
        <v>40</v>
      </c>
      <c r="D219">
        <v>2021</v>
      </c>
      <c r="E219">
        <v>113.6</v>
      </c>
      <c r="F219">
        <v>0.2702</v>
      </c>
      <c r="G219">
        <v>448373</v>
      </c>
      <c r="H219">
        <v>3.7999999999999999E-2</v>
      </c>
      <c r="I219">
        <v>3.2000000000000001E-2</v>
      </c>
      <c r="J219">
        <v>67709.66</v>
      </c>
      <c r="K219">
        <v>63.4</v>
      </c>
      <c r="L219" s="2">
        <v>1.03</v>
      </c>
      <c r="M219">
        <v>2.2999999999999998</v>
      </c>
      <c r="N219">
        <v>63</v>
      </c>
    </row>
    <row r="220" spans="1:14" x14ac:dyDescent="0.2">
      <c r="A220" t="s">
        <v>10</v>
      </c>
      <c r="B220">
        <v>3</v>
      </c>
      <c r="C220" s="8" t="s">
        <v>41</v>
      </c>
      <c r="D220">
        <v>2021</v>
      </c>
      <c r="E220">
        <v>55.2</v>
      </c>
      <c r="F220">
        <v>0.1024</v>
      </c>
      <c r="G220">
        <v>128564.7</v>
      </c>
      <c r="H220">
        <v>3.2000000000000001E-2</v>
      </c>
      <c r="I220">
        <v>2.8000000000000001E-2</v>
      </c>
      <c r="J220">
        <v>15833.69</v>
      </c>
      <c r="K220">
        <v>138.19999999999999</v>
      </c>
      <c r="L220" s="4">
        <v>0.69</v>
      </c>
      <c r="M220">
        <v>3.4</v>
      </c>
      <c r="N220">
        <v>14</v>
      </c>
    </row>
    <row r="221" spans="1:14" x14ac:dyDescent="0.2">
      <c r="A221" t="s">
        <v>21</v>
      </c>
      <c r="B221">
        <v>4</v>
      </c>
      <c r="C221" s="8" t="s">
        <v>44</v>
      </c>
      <c r="D221">
        <v>2021</v>
      </c>
      <c r="E221">
        <v>90.7</v>
      </c>
      <c r="F221">
        <v>0.1976</v>
      </c>
      <c r="G221">
        <v>28017</v>
      </c>
      <c r="H221">
        <v>0.05</v>
      </c>
      <c r="I221">
        <v>2.3E-2</v>
      </c>
      <c r="J221">
        <v>22362.76</v>
      </c>
      <c r="K221">
        <v>138.5</v>
      </c>
      <c r="L221" s="2">
        <v>1.05</v>
      </c>
      <c r="M221">
        <v>-3.9</v>
      </c>
      <c r="N221">
        <v>17</v>
      </c>
    </row>
    <row r="222" spans="1:14" x14ac:dyDescent="0.2">
      <c r="A222" t="s">
        <v>11</v>
      </c>
      <c r="B222">
        <v>5</v>
      </c>
      <c r="C222" s="8" t="s">
        <v>43</v>
      </c>
      <c r="D222">
        <v>2021</v>
      </c>
      <c r="E222">
        <v>76.3</v>
      </c>
      <c r="F222">
        <v>0.1802</v>
      </c>
      <c r="G222">
        <v>320294.7</v>
      </c>
      <c r="H222">
        <v>1.9E-2</v>
      </c>
      <c r="I222">
        <v>3.3000000000000002E-2</v>
      </c>
      <c r="J222">
        <v>41693.019999999997</v>
      </c>
      <c r="K222">
        <v>235.2</v>
      </c>
      <c r="L222" s="2">
        <v>0.88</v>
      </c>
      <c r="M222">
        <v>3.6</v>
      </c>
      <c r="N222">
        <v>17</v>
      </c>
    </row>
    <row r="223" spans="1:14" x14ac:dyDescent="0.2">
      <c r="A223" t="s">
        <v>13</v>
      </c>
      <c r="B223">
        <v>6</v>
      </c>
      <c r="C223" s="8" t="s">
        <v>49</v>
      </c>
      <c r="D223">
        <v>2021</v>
      </c>
      <c r="E223">
        <v>106.9</v>
      </c>
      <c r="F223">
        <v>0.31929999999999997</v>
      </c>
      <c r="G223">
        <v>3318374.2</v>
      </c>
      <c r="H223">
        <v>2.5000000000000001E-2</v>
      </c>
      <c r="I223">
        <v>3.2000000000000001E-2</v>
      </c>
      <c r="J223">
        <v>29995.8</v>
      </c>
      <c r="K223">
        <v>30.5</v>
      </c>
      <c r="L223" s="2">
        <v>1.03</v>
      </c>
      <c r="M223">
        <v>-0.3</v>
      </c>
      <c r="N223">
        <v>63</v>
      </c>
    </row>
    <row r="224" spans="1:14" x14ac:dyDescent="0.2">
      <c r="A224" t="s">
        <v>12</v>
      </c>
      <c r="B224">
        <v>7</v>
      </c>
      <c r="C224" s="8" t="s">
        <v>45</v>
      </c>
      <c r="D224">
        <v>2021</v>
      </c>
      <c r="E224">
        <v>142.6</v>
      </c>
      <c r="F224">
        <v>0.28999999999999998</v>
      </c>
      <c r="G224">
        <v>260443.3</v>
      </c>
      <c r="H224">
        <v>3.5999999999999997E-2</v>
      </c>
      <c r="I224">
        <v>1.9E-2</v>
      </c>
      <c r="J224">
        <v>82185.88</v>
      </c>
      <c r="K224">
        <v>71.900000000000006</v>
      </c>
      <c r="L224" s="4">
        <v>1.18</v>
      </c>
      <c r="M224">
        <v>-1.3</v>
      </c>
      <c r="N224">
        <v>48</v>
      </c>
    </row>
    <row r="225" spans="1:14" x14ac:dyDescent="0.2">
      <c r="A225" t="s">
        <v>34</v>
      </c>
      <c r="B225">
        <v>8</v>
      </c>
      <c r="C225" s="8" t="s">
        <v>47</v>
      </c>
      <c r="D225">
        <v>2021</v>
      </c>
      <c r="E225">
        <v>126.4</v>
      </c>
      <c r="F225">
        <v>0.1767</v>
      </c>
      <c r="G225">
        <v>200721.3</v>
      </c>
      <c r="H225">
        <v>5.1999999999999998E-2</v>
      </c>
      <c r="I225">
        <v>2.1000000000000001E-2</v>
      </c>
      <c r="J225">
        <v>32410.48</v>
      </c>
      <c r="K225">
        <v>82.4</v>
      </c>
      <c r="L225" s="4">
        <v>1.08</v>
      </c>
      <c r="M225">
        <v>3.8</v>
      </c>
      <c r="N225">
        <v>26</v>
      </c>
    </row>
    <row r="226" spans="1:14" x14ac:dyDescent="0.2">
      <c r="A226" t="s">
        <v>18</v>
      </c>
      <c r="B226">
        <v>9</v>
      </c>
      <c r="C226" s="8" t="s">
        <v>48</v>
      </c>
      <c r="D226">
        <v>2021</v>
      </c>
      <c r="E226">
        <v>113</v>
      </c>
      <c r="F226">
        <v>0.1946</v>
      </c>
      <c r="G226">
        <v>2272675.7999999998</v>
      </c>
      <c r="H226">
        <v>4.9000000000000002E-2</v>
      </c>
      <c r="I226">
        <v>2.1000000000000001E-2</v>
      </c>
      <c r="J226">
        <v>70208.929999999993</v>
      </c>
      <c r="K226">
        <v>93.8</v>
      </c>
      <c r="L226" s="4">
        <v>0.94</v>
      </c>
      <c r="M226">
        <v>0.4</v>
      </c>
      <c r="N226">
        <v>63</v>
      </c>
    </row>
    <row r="227" spans="1:14" x14ac:dyDescent="0.2">
      <c r="A227" t="s">
        <v>14</v>
      </c>
      <c r="B227">
        <v>10</v>
      </c>
      <c r="C227" s="8" t="s">
        <v>46</v>
      </c>
      <c r="D227">
        <v>2021</v>
      </c>
      <c r="E227">
        <v>86</v>
      </c>
      <c r="F227">
        <v>0.13239999999999999</v>
      </c>
      <c r="G227">
        <v>37567.699999999997</v>
      </c>
      <c r="H227">
        <v>4.3999999999999997E-2</v>
      </c>
      <c r="I227">
        <v>4.4999999999999998E-2</v>
      </c>
      <c r="J227">
        <v>60476.18</v>
      </c>
      <c r="K227">
        <v>106.3</v>
      </c>
      <c r="L227" s="4">
        <v>0.99</v>
      </c>
      <c r="M227">
        <v>2.2000000000000002</v>
      </c>
      <c r="N227">
        <v>17</v>
      </c>
    </row>
    <row r="228" spans="1:14" x14ac:dyDescent="0.2">
      <c r="A228" t="s">
        <v>16</v>
      </c>
      <c r="B228">
        <v>11</v>
      </c>
      <c r="C228" s="8" t="s">
        <v>50</v>
      </c>
      <c r="D228">
        <v>2021</v>
      </c>
      <c r="E228">
        <v>88.4</v>
      </c>
      <c r="F228">
        <v>0.16800000000000001</v>
      </c>
      <c r="G228">
        <v>226058.9</v>
      </c>
      <c r="H228">
        <v>8.5999999999999993E-2</v>
      </c>
      <c r="I228">
        <v>6.0000000000000001E-3</v>
      </c>
      <c r="J228">
        <v>71564.399999999994</v>
      </c>
      <c r="K228">
        <v>72.8</v>
      </c>
      <c r="L228" s="4">
        <v>0.82</v>
      </c>
      <c r="M228">
        <v>-1.7</v>
      </c>
      <c r="N228">
        <v>40</v>
      </c>
    </row>
    <row r="229" spans="1:14" x14ac:dyDescent="0.2">
      <c r="A229" t="s">
        <v>17</v>
      </c>
      <c r="B229">
        <v>12</v>
      </c>
      <c r="C229" s="8" t="s">
        <v>64</v>
      </c>
      <c r="D229">
        <v>2021</v>
      </c>
      <c r="E229">
        <v>97.8</v>
      </c>
      <c r="F229">
        <v>0.23230000000000001</v>
      </c>
      <c r="G229">
        <v>1339181.6000000001</v>
      </c>
      <c r="H229">
        <v>9.6000000000000002E-2</v>
      </c>
      <c r="I229">
        <v>0.03</v>
      </c>
      <c r="J229">
        <v>33680.120000000003</v>
      </c>
      <c r="K229">
        <v>200.6</v>
      </c>
      <c r="L229" s="3">
        <v>1</v>
      </c>
      <c r="M229">
        <v>1.7</v>
      </c>
      <c r="N229">
        <v>35</v>
      </c>
    </row>
    <row r="230" spans="1:14" x14ac:dyDescent="0.2">
      <c r="A230" t="s">
        <v>15</v>
      </c>
      <c r="B230">
        <v>13</v>
      </c>
      <c r="C230" s="8" t="s">
        <v>52</v>
      </c>
      <c r="D230">
        <v>2021</v>
      </c>
      <c r="E230">
        <v>141.69999999999999</v>
      </c>
      <c r="F230">
        <v>0.2555</v>
      </c>
      <c r="G230">
        <v>381092.5</v>
      </c>
      <c r="H230">
        <v>4.2999999999999997E-2</v>
      </c>
      <c r="I230">
        <v>2.4E-2</v>
      </c>
      <c r="J230">
        <v>22379.05</v>
      </c>
      <c r="K230">
        <v>95.7</v>
      </c>
      <c r="L230" s="2">
        <v>1.18</v>
      </c>
      <c r="M230">
        <v>-5</v>
      </c>
      <c r="N230">
        <v>48</v>
      </c>
    </row>
    <row r="231" spans="1:14" x14ac:dyDescent="0.2">
      <c r="A231" t="s">
        <v>26</v>
      </c>
      <c r="B231">
        <v>14</v>
      </c>
      <c r="C231" s="8" t="s">
        <v>57</v>
      </c>
      <c r="D231">
        <v>2021</v>
      </c>
      <c r="E231">
        <v>89.6</v>
      </c>
      <c r="F231">
        <v>0.1285</v>
      </c>
      <c r="G231">
        <v>18774.7</v>
      </c>
      <c r="H231">
        <v>2.5000000000000001E-2</v>
      </c>
      <c r="I231">
        <v>6.9999999999999993E-3</v>
      </c>
      <c r="J231">
        <v>83220.63</v>
      </c>
      <c r="K231">
        <v>30.2</v>
      </c>
      <c r="L231" s="4">
        <v>1.1100000000000001</v>
      </c>
      <c r="M231">
        <v>-4.5999999999999996</v>
      </c>
      <c r="N231">
        <v>17</v>
      </c>
    </row>
    <row r="232" spans="1:14" x14ac:dyDescent="0.2">
      <c r="A232" t="s">
        <v>19</v>
      </c>
      <c r="B232">
        <v>15</v>
      </c>
      <c r="C232" s="8" t="s">
        <v>42</v>
      </c>
      <c r="D232">
        <v>2021</v>
      </c>
      <c r="E232">
        <v>70.7</v>
      </c>
      <c r="F232">
        <v>0.12909999999999999</v>
      </c>
      <c r="G232">
        <v>91381.3</v>
      </c>
      <c r="H232">
        <v>4.3999999999999997E-2</v>
      </c>
      <c r="I232">
        <v>2.7E-2</v>
      </c>
      <c r="J232">
        <v>49376.800000000003</v>
      </c>
      <c r="K232">
        <v>44.6</v>
      </c>
      <c r="L232" s="2">
        <v>0.87</v>
      </c>
      <c r="M232">
        <v>-5</v>
      </c>
      <c r="N232">
        <v>8</v>
      </c>
    </row>
    <row r="233" spans="1:14" x14ac:dyDescent="0.2">
      <c r="A233" t="s">
        <v>25</v>
      </c>
      <c r="B233">
        <v>16</v>
      </c>
      <c r="C233" s="8" t="s">
        <v>51</v>
      </c>
      <c r="D233">
        <v>2021</v>
      </c>
      <c r="E233">
        <v>66.3</v>
      </c>
      <c r="F233">
        <v>0.10100000000000001</v>
      </c>
      <c r="G233">
        <v>238893.7</v>
      </c>
      <c r="H233">
        <v>2.5999999999999999E-2</v>
      </c>
      <c r="I233">
        <v>5.1999999999999998E-2</v>
      </c>
      <c r="J233">
        <v>24188.67</v>
      </c>
      <c r="K233">
        <v>239.8</v>
      </c>
      <c r="L233" s="2">
        <v>0.71</v>
      </c>
      <c r="M233">
        <v>3.3</v>
      </c>
      <c r="N233">
        <v>17</v>
      </c>
    </row>
    <row r="234" spans="1:14" x14ac:dyDescent="0.2">
      <c r="A234" t="s">
        <v>20</v>
      </c>
      <c r="B234">
        <v>17</v>
      </c>
      <c r="C234" s="8" t="s">
        <v>53</v>
      </c>
      <c r="D234">
        <v>2021</v>
      </c>
      <c r="E234">
        <v>101.7</v>
      </c>
      <c r="F234">
        <v>0.22589999999999999</v>
      </c>
      <c r="G234">
        <v>1879369.4</v>
      </c>
      <c r="H234">
        <v>5.2999999999999999E-2</v>
      </c>
      <c r="I234">
        <v>1.9E-2</v>
      </c>
      <c r="J234">
        <v>25276.42</v>
      </c>
      <c r="K234">
        <v>107.1</v>
      </c>
      <c r="L234" s="4">
        <v>1.04</v>
      </c>
      <c r="M234">
        <v>0.1</v>
      </c>
      <c r="N234">
        <v>63</v>
      </c>
    </row>
    <row r="235" spans="1:14" x14ac:dyDescent="0.2">
      <c r="A235" t="s">
        <v>27</v>
      </c>
      <c r="B235">
        <v>18</v>
      </c>
      <c r="C235" s="8" t="s">
        <v>58</v>
      </c>
      <c r="D235">
        <v>2021</v>
      </c>
      <c r="E235">
        <v>116.2</v>
      </c>
      <c r="F235">
        <v>0.12809999999999999</v>
      </c>
      <c r="G235">
        <v>766911.5</v>
      </c>
      <c r="H235">
        <v>3.1E-2</v>
      </c>
      <c r="I235">
        <v>2.8000000000000001E-2</v>
      </c>
      <c r="J235">
        <v>99361.25</v>
      </c>
      <c r="K235">
        <v>1610.4</v>
      </c>
      <c r="L235" s="2">
        <v>1.1000000000000001</v>
      </c>
      <c r="M235">
        <v>-1.4</v>
      </c>
      <c r="N235">
        <v>63</v>
      </c>
    </row>
    <row r="236" spans="1:14" x14ac:dyDescent="0.2">
      <c r="A236" t="s">
        <v>23</v>
      </c>
      <c r="B236">
        <v>19</v>
      </c>
      <c r="C236" s="8" t="s">
        <v>55</v>
      </c>
      <c r="D236">
        <v>2021</v>
      </c>
      <c r="E236">
        <v>69.900000000000006</v>
      </c>
      <c r="F236">
        <v>0.1348</v>
      </c>
      <c r="G236">
        <v>82176.7</v>
      </c>
      <c r="H236">
        <v>0.05</v>
      </c>
      <c r="I236">
        <v>4.5999999999999999E-2</v>
      </c>
      <c r="J236">
        <v>38235</v>
      </c>
      <c r="K236">
        <v>507.3</v>
      </c>
      <c r="L236" s="2">
        <v>0.95</v>
      </c>
      <c r="M236">
        <v>6.4</v>
      </c>
      <c r="N236">
        <v>17</v>
      </c>
    </row>
    <row r="237" spans="1:14" x14ac:dyDescent="0.2">
      <c r="A237" t="s">
        <v>24</v>
      </c>
      <c r="B237">
        <v>20</v>
      </c>
      <c r="C237" s="8" t="s">
        <v>56</v>
      </c>
      <c r="D237">
        <v>2021</v>
      </c>
      <c r="E237">
        <v>137.4</v>
      </c>
      <c r="F237">
        <v>0.1988</v>
      </c>
      <c r="G237">
        <v>55841</v>
      </c>
      <c r="H237">
        <v>3.5000000000000003E-2</v>
      </c>
      <c r="I237">
        <v>3.5000000000000003E-2</v>
      </c>
      <c r="J237">
        <v>86316.92</v>
      </c>
      <c r="K237">
        <v>107.6</v>
      </c>
      <c r="L237" s="4">
        <v>1.31</v>
      </c>
      <c r="M237">
        <v>1.4</v>
      </c>
      <c r="N237">
        <v>63</v>
      </c>
    </row>
    <row r="238" spans="1:14" x14ac:dyDescent="0.2">
      <c r="A238" t="s">
        <v>22</v>
      </c>
      <c r="B238">
        <v>21</v>
      </c>
      <c r="C238" s="8" t="s">
        <v>54</v>
      </c>
      <c r="D238">
        <v>2021</v>
      </c>
      <c r="E238">
        <v>78.5</v>
      </c>
      <c r="F238">
        <v>0.14030000000000001</v>
      </c>
      <c r="G238">
        <v>44370.3</v>
      </c>
      <c r="H238">
        <v>5.0999999999999997E-2</v>
      </c>
      <c r="I238">
        <v>3.2000000000000001E-2</v>
      </c>
      <c r="J238">
        <v>25516.32</v>
      </c>
      <c r="K238">
        <v>123.6</v>
      </c>
      <c r="L238" s="4">
        <v>0.88</v>
      </c>
      <c r="M238">
        <v>-0.8</v>
      </c>
      <c r="N238">
        <v>17</v>
      </c>
    </row>
    <row r="239" spans="1:14" x14ac:dyDescent="0.2">
      <c r="A239" t="s">
        <v>29</v>
      </c>
      <c r="B239">
        <v>22</v>
      </c>
      <c r="C239" s="8" t="s">
        <v>59</v>
      </c>
      <c r="D239">
        <v>2021</v>
      </c>
      <c r="E239">
        <v>59.1</v>
      </c>
      <c r="F239">
        <v>0.15479999999999999</v>
      </c>
      <c r="G239">
        <v>968567.9</v>
      </c>
      <c r="H239">
        <v>2.1000000000000001E-2</v>
      </c>
      <c r="I239">
        <v>5.1999999999999998E-2</v>
      </c>
      <c r="J239">
        <v>28205.08</v>
      </c>
      <c r="K239">
        <v>113</v>
      </c>
      <c r="L239" s="2">
        <v>0.85</v>
      </c>
      <c r="M239">
        <v>1.5</v>
      </c>
      <c r="N239">
        <v>17</v>
      </c>
    </row>
    <row r="240" spans="1:14" x14ac:dyDescent="0.2">
      <c r="A240" t="s">
        <v>30</v>
      </c>
      <c r="B240">
        <f>B228+1</f>
        <v>12</v>
      </c>
      <c r="C240" s="8" t="s">
        <v>60</v>
      </c>
      <c r="D240">
        <v>2021</v>
      </c>
      <c r="E240">
        <v>90.3</v>
      </c>
      <c r="F240">
        <v>0.2089</v>
      </c>
      <c r="G240">
        <v>255506.8</v>
      </c>
      <c r="H240">
        <v>4.3999999999999997E-2</v>
      </c>
      <c r="I240">
        <v>9.0000000000000011E-3</v>
      </c>
      <c r="J240">
        <v>17183.22</v>
      </c>
      <c r="K240">
        <v>82.7</v>
      </c>
      <c r="L240" s="4">
        <v>0.97</v>
      </c>
      <c r="M240">
        <v>1</v>
      </c>
      <c r="N240">
        <v>35</v>
      </c>
    </row>
    <row r="241" spans="1:14" x14ac:dyDescent="0.2">
      <c r="A241" t="s">
        <v>31</v>
      </c>
      <c r="B241">
        <v>24</v>
      </c>
      <c r="C241" s="8" t="s">
        <v>61</v>
      </c>
      <c r="D241">
        <v>2021</v>
      </c>
      <c r="E241">
        <v>55.4</v>
      </c>
      <c r="F241">
        <v>0.15359999999999999</v>
      </c>
      <c r="G241">
        <v>460235</v>
      </c>
      <c r="H241">
        <v>3.2000000000000001E-2</v>
      </c>
      <c r="I241">
        <v>4.0999999999999988E-2</v>
      </c>
      <c r="J241">
        <v>23329.279999999999</v>
      </c>
      <c r="K241">
        <v>103.7</v>
      </c>
      <c r="L241" s="2">
        <v>0.64</v>
      </c>
      <c r="M241">
        <v>1.8</v>
      </c>
      <c r="N241">
        <v>14</v>
      </c>
    </row>
    <row r="242" spans="1:14" x14ac:dyDescent="0.2">
      <c r="A242" t="s">
        <v>35</v>
      </c>
      <c r="B242">
        <v>25</v>
      </c>
      <c r="C242" s="8" t="s">
        <v>65</v>
      </c>
      <c r="D242">
        <v>2021</v>
      </c>
      <c r="E242">
        <v>124.8</v>
      </c>
      <c r="F242">
        <v>0.2114</v>
      </c>
      <c r="G242">
        <v>416784.3</v>
      </c>
      <c r="H242">
        <v>6.6000000000000003E-2</v>
      </c>
      <c r="I242">
        <v>2.7E-2</v>
      </c>
      <c r="J242">
        <v>31367.01</v>
      </c>
      <c r="K242">
        <v>112</v>
      </c>
      <c r="L242" s="2">
        <v>1.02</v>
      </c>
      <c r="M242">
        <v>-0.2</v>
      </c>
      <c r="N242">
        <v>26</v>
      </c>
    </row>
    <row r="243" spans="1:14" x14ac:dyDescent="0.2">
      <c r="A243" t="s">
        <v>32</v>
      </c>
      <c r="B243">
        <v>26</v>
      </c>
      <c r="C243" s="8" t="s">
        <v>63</v>
      </c>
      <c r="D243">
        <v>2021</v>
      </c>
      <c r="E243">
        <v>87.3</v>
      </c>
      <c r="F243">
        <v>0.16619999999999999</v>
      </c>
      <c r="G243">
        <v>61739.5</v>
      </c>
      <c r="H243">
        <v>3.1E-2</v>
      </c>
      <c r="I243">
        <v>0.02</v>
      </c>
      <c r="J243">
        <v>44280.53</v>
      </c>
      <c r="K243">
        <v>18.100000000000001</v>
      </c>
      <c r="L243" s="4">
        <v>0.84</v>
      </c>
      <c r="M243">
        <v>0.5</v>
      </c>
      <c r="N243">
        <v>17</v>
      </c>
    </row>
    <row r="244" spans="1:14" x14ac:dyDescent="0.2">
      <c r="A244" t="s">
        <v>33</v>
      </c>
      <c r="B244">
        <v>27</v>
      </c>
      <c r="C244" s="8" t="s">
        <v>62</v>
      </c>
      <c r="D244">
        <v>2021</v>
      </c>
      <c r="E244">
        <v>83.2</v>
      </c>
      <c r="F244">
        <v>0.1668</v>
      </c>
      <c r="G244">
        <v>133238.1</v>
      </c>
      <c r="H244">
        <v>4.4999999999999998E-2</v>
      </c>
      <c r="I244">
        <v>2.8000000000000001E-2</v>
      </c>
      <c r="J244">
        <v>74105.55</v>
      </c>
      <c r="K244">
        <v>25.2</v>
      </c>
      <c r="L244" s="2">
        <v>0.69</v>
      </c>
      <c r="M244">
        <v>0.3</v>
      </c>
      <c r="N244">
        <v>17</v>
      </c>
    </row>
    <row r="245" spans="1:14" x14ac:dyDescent="0.2">
      <c r="A245" t="s">
        <v>28</v>
      </c>
      <c r="B245">
        <v>1</v>
      </c>
      <c r="C245" s="8" t="s">
        <v>39</v>
      </c>
      <c r="D245">
        <v>2022</v>
      </c>
      <c r="E245">
        <v>108.5</v>
      </c>
      <c r="F245">
        <v>0.22489999999999999</v>
      </c>
      <c r="G245">
        <v>400915.9</v>
      </c>
      <c r="H245">
        <v>3.3000000000000002E-2</v>
      </c>
      <c r="I245">
        <v>8.5999999999999993E-2</v>
      </c>
      <c r="J245">
        <v>82029.22</v>
      </c>
      <c r="K245">
        <v>378.9</v>
      </c>
      <c r="L245" s="4">
        <v>0.96</v>
      </c>
      <c r="M245">
        <v>2.1</v>
      </c>
      <c r="N245">
        <v>27</v>
      </c>
    </row>
    <row r="246" spans="1:14" x14ac:dyDescent="0.2">
      <c r="A246" t="s">
        <v>9</v>
      </c>
      <c r="B246">
        <v>2</v>
      </c>
      <c r="C246" s="8" t="s">
        <v>40</v>
      </c>
      <c r="D246">
        <v>2022</v>
      </c>
      <c r="E246">
        <v>115.5</v>
      </c>
      <c r="F246">
        <v>0.34370000000000001</v>
      </c>
      <c r="G246">
        <v>499035.5</v>
      </c>
      <c r="H246">
        <v>3.4000000000000002E-2</v>
      </c>
      <c r="I246">
        <v>0.10299999999999999</v>
      </c>
      <c r="J246">
        <v>71793.7</v>
      </c>
      <c r="K246">
        <v>63</v>
      </c>
      <c r="L246" s="2">
        <v>1.05</v>
      </c>
      <c r="M246">
        <v>5.2</v>
      </c>
      <c r="N246">
        <v>64</v>
      </c>
    </row>
    <row r="247" spans="1:14" x14ac:dyDescent="0.2">
      <c r="A247" t="s">
        <v>10</v>
      </c>
      <c r="B247">
        <v>3</v>
      </c>
      <c r="C247" s="8" t="s">
        <v>41</v>
      </c>
      <c r="D247">
        <v>2022</v>
      </c>
      <c r="E247">
        <v>55.5</v>
      </c>
      <c r="F247">
        <v>0.10929999999999999</v>
      </c>
      <c r="G247">
        <v>145153</v>
      </c>
      <c r="H247">
        <v>2.5999999999999999E-2</v>
      </c>
      <c r="I247">
        <v>0.13</v>
      </c>
      <c r="J247">
        <v>18058.71</v>
      </c>
      <c r="K247">
        <v>138.6</v>
      </c>
      <c r="L247" s="4">
        <v>0.7</v>
      </c>
      <c r="M247">
        <v>10.6</v>
      </c>
      <c r="N247">
        <v>15</v>
      </c>
    </row>
    <row r="248" spans="1:14" x14ac:dyDescent="0.2">
      <c r="A248" t="s">
        <v>21</v>
      </c>
      <c r="B248">
        <v>4</v>
      </c>
      <c r="C248" s="8" t="s">
        <v>44</v>
      </c>
      <c r="D248">
        <v>2022</v>
      </c>
      <c r="E248">
        <v>92.6</v>
      </c>
      <c r="F248">
        <v>0.26069999999999999</v>
      </c>
      <c r="G248">
        <v>32008.3</v>
      </c>
      <c r="H248">
        <v>4.4999999999999998E-2</v>
      </c>
      <c r="I248">
        <v>8.1000000000000003E-2</v>
      </c>
      <c r="J248">
        <v>24046.49</v>
      </c>
      <c r="K248">
        <v>138.9</v>
      </c>
      <c r="L248" s="2">
        <v>1.1100000000000001</v>
      </c>
      <c r="M248">
        <v>4.0999999999999996</v>
      </c>
      <c r="N248">
        <v>18</v>
      </c>
    </row>
    <row r="249" spans="1:14" x14ac:dyDescent="0.2">
      <c r="A249" t="s">
        <v>11</v>
      </c>
      <c r="B249">
        <v>5</v>
      </c>
      <c r="C249" s="8" t="s">
        <v>43</v>
      </c>
      <c r="D249">
        <v>2022</v>
      </c>
      <c r="E249">
        <v>83.3</v>
      </c>
      <c r="F249">
        <v>0.2445</v>
      </c>
      <c r="G249">
        <v>345929.6</v>
      </c>
      <c r="H249">
        <v>1.4999999999999999E-2</v>
      </c>
      <c r="I249">
        <v>0.14799999999999999</v>
      </c>
      <c r="J249">
        <v>44719.62</v>
      </c>
      <c r="K249">
        <v>235.4</v>
      </c>
      <c r="L249" s="2">
        <v>0.91</v>
      </c>
      <c r="M249">
        <v>5.4</v>
      </c>
      <c r="N249">
        <v>18</v>
      </c>
    </row>
    <row r="250" spans="1:14" x14ac:dyDescent="0.2">
      <c r="A250" t="s">
        <v>13</v>
      </c>
      <c r="B250">
        <v>6</v>
      </c>
      <c r="C250" s="8" t="s">
        <v>49</v>
      </c>
      <c r="D250">
        <v>2022</v>
      </c>
      <c r="E250">
        <v>107.2</v>
      </c>
      <c r="F250">
        <v>0.32790000000000002</v>
      </c>
      <c r="G250">
        <v>3550416.2</v>
      </c>
      <c r="H250">
        <v>2.1999999999999999E-2</v>
      </c>
      <c r="I250">
        <v>8.6999999999999994E-2</v>
      </c>
      <c r="J250">
        <v>33593.019999999997</v>
      </c>
      <c r="K250">
        <v>30.6</v>
      </c>
      <c r="L250" s="2">
        <v>1.05</v>
      </c>
      <c r="M250">
        <v>4.4000000000000004</v>
      </c>
      <c r="N250">
        <v>64</v>
      </c>
    </row>
    <row r="251" spans="1:14" x14ac:dyDescent="0.2">
      <c r="A251" t="s">
        <v>12</v>
      </c>
      <c r="B251">
        <v>7</v>
      </c>
      <c r="C251" s="8" t="s">
        <v>45</v>
      </c>
      <c r="D251">
        <v>2022</v>
      </c>
      <c r="E251">
        <v>140.80000000000001</v>
      </c>
      <c r="F251">
        <v>0.45590000000000003</v>
      </c>
      <c r="G251">
        <v>286405.90000000002</v>
      </c>
      <c r="H251">
        <v>3.2000000000000001E-2</v>
      </c>
      <c r="I251">
        <v>8.5000000000000006E-2</v>
      </c>
      <c r="J251">
        <v>85005.759999999995</v>
      </c>
      <c r="K251">
        <v>72.599999999999994</v>
      </c>
      <c r="L251" s="4">
        <v>1.22</v>
      </c>
      <c r="M251">
        <v>5</v>
      </c>
      <c r="N251">
        <v>49</v>
      </c>
    </row>
    <row r="252" spans="1:14" x14ac:dyDescent="0.2">
      <c r="A252" t="s">
        <v>34</v>
      </c>
      <c r="B252">
        <v>8</v>
      </c>
      <c r="C252" s="8" t="s">
        <v>47</v>
      </c>
      <c r="D252">
        <v>2022</v>
      </c>
      <c r="E252">
        <v>125.8</v>
      </c>
      <c r="F252">
        <v>0.19339999999999999</v>
      </c>
      <c r="G252">
        <v>213661.8</v>
      </c>
      <c r="H252">
        <v>4.5999999999999999E-2</v>
      </c>
      <c r="I252">
        <v>7.2000000000000008E-2</v>
      </c>
      <c r="J252">
        <v>34753.79</v>
      </c>
      <c r="K252">
        <v>82.3</v>
      </c>
      <c r="L252" s="4">
        <v>1.1000000000000001</v>
      </c>
      <c r="M252">
        <v>5.0999999999999996</v>
      </c>
      <c r="N252">
        <v>27</v>
      </c>
    </row>
    <row r="253" spans="1:14" x14ac:dyDescent="0.2">
      <c r="A253" t="s">
        <v>18</v>
      </c>
      <c r="B253">
        <v>9</v>
      </c>
      <c r="C253" s="8" t="s">
        <v>48</v>
      </c>
      <c r="D253">
        <v>2022</v>
      </c>
      <c r="E253">
        <v>114.3</v>
      </c>
      <c r="F253">
        <v>0.2092</v>
      </c>
      <c r="G253">
        <v>2397056.2999999998</v>
      </c>
      <c r="H253">
        <v>4.5999999999999999E-2</v>
      </c>
      <c r="I253">
        <v>5.8999999999999997E-2</v>
      </c>
      <c r="J253">
        <v>72598.69</v>
      </c>
      <c r="K253">
        <v>94.2</v>
      </c>
      <c r="L253" s="4">
        <v>0.97</v>
      </c>
      <c r="M253">
        <v>4.7</v>
      </c>
      <c r="N253">
        <v>64</v>
      </c>
    </row>
    <row r="254" spans="1:14" x14ac:dyDescent="0.2">
      <c r="A254" t="s">
        <v>14</v>
      </c>
      <c r="B254">
        <v>10</v>
      </c>
      <c r="C254" s="8" t="s">
        <v>46</v>
      </c>
      <c r="D254">
        <v>2022</v>
      </c>
      <c r="E254">
        <v>91.1</v>
      </c>
      <c r="F254">
        <v>0.2056</v>
      </c>
      <c r="G254">
        <v>40417.599999999999</v>
      </c>
      <c r="H254">
        <v>4.0999999999999988E-2</v>
      </c>
      <c r="I254">
        <v>0.19400000000000001</v>
      </c>
      <c r="J254">
        <v>63799.45</v>
      </c>
      <c r="K254">
        <v>106.6</v>
      </c>
      <c r="L254" s="5">
        <v>1</v>
      </c>
      <c r="M254">
        <v>12.7</v>
      </c>
      <c r="N254">
        <v>18</v>
      </c>
    </row>
    <row r="255" spans="1:14" x14ac:dyDescent="0.2">
      <c r="A255" t="s">
        <v>16</v>
      </c>
      <c r="B255">
        <v>11</v>
      </c>
      <c r="C255" s="8" t="s">
        <v>50</v>
      </c>
      <c r="D255">
        <v>2022</v>
      </c>
      <c r="E255">
        <v>87.3</v>
      </c>
      <c r="F255">
        <v>0.21010000000000001</v>
      </c>
      <c r="G255">
        <v>254949.5</v>
      </c>
      <c r="H255">
        <v>7.4999999999999997E-2</v>
      </c>
      <c r="I255">
        <v>9.3000000000000013E-2</v>
      </c>
      <c r="J255">
        <v>77469.09</v>
      </c>
      <c r="K255">
        <v>72.400000000000006</v>
      </c>
      <c r="L255" s="4">
        <v>0.89</v>
      </c>
      <c r="M255">
        <v>-1.8</v>
      </c>
      <c r="N255">
        <v>41</v>
      </c>
    </row>
    <row r="256" spans="1:14" x14ac:dyDescent="0.2">
      <c r="A256" t="s">
        <v>17</v>
      </c>
      <c r="B256">
        <v>12</v>
      </c>
      <c r="C256" s="8" t="s">
        <v>64</v>
      </c>
      <c r="D256">
        <v>2022</v>
      </c>
      <c r="E256">
        <v>94.5</v>
      </c>
      <c r="F256">
        <v>0.30709999999999998</v>
      </c>
      <c r="G256">
        <v>1511756.7</v>
      </c>
      <c r="H256">
        <v>8.5000000000000006E-2</v>
      </c>
      <c r="I256">
        <v>8.3000000000000004E-2</v>
      </c>
      <c r="J256">
        <v>36666.660000000003</v>
      </c>
      <c r="K256">
        <v>199.6</v>
      </c>
      <c r="L256" s="2">
        <v>1.07</v>
      </c>
      <c r="M256">
        <v>1.9</v>
      </c>
      <c r="N256">
        <v>36</v>
      </c>
    </row>
    <row r="257" spans="1:14" x14ac:dyDescent="0.2">
      <c r="A257" t="s">
        <v>15</v>
      </c>
      <c r="B257">
        <v>13</v>
      </c>
      <c r="C257" s="8" t="s">
        <v>52</v>
      </c>
      <c r="D257">
        <v>2022</v>
      </c>
      <c r="E257">
        <v>138.30000000000001</v>
      </c>
      <c r="F257">
        <v>0.2324</v>
      </c>
      <c r="G257">
        <v>444742.1</v>
      </c>
      <c r="H257">
        <v>3.1E-2</v>
      </c>
      <c r="I257">
        <v>8.1000000000000003E-2</v>
      </c>
      <c r="J257">
        <v>23377.34</v>
      </c>
      <c r="K257">
        <v>96.8</v>
      </c>
      <c r="L257" s="2">
        <v>1.21</v>
      </c>
      <c r="M257">
        <v>1.2</v>
      </c>
      <c r="N257">
        <v>49</v>
      </c>
    </row>
    <row r="258" spans="1:14" x14ac:dyDescent="0.2">
      <c r="A258" t="s">
        <v>26</v>
      </c>
      <c r="B258">
        <v>14</v>
      </c>
      <c r="C258" s="8" t="s">
        <v>57</v>
      </c>
      <c r="D258">
        <v>2022</v>
      </c>
      <c r="E258">
        <v>91.6</v>
      </c>
      <c r="F258">
        <v>0.1298</v>
      </c>
      <c r="G258">
        <v>20138.7</v>
      </c>
      <c r="H258">
        <v>2.4E-2</v>
      </c>
      <c r="I258">
        <v>6.0999999999999999E-2</v>
      </c>
      <c r="J258">
        <v>85765.82</v>
      </c>
      <c r="K258">
        <v>30</v>
      </c>
      <c r="L258" s="4">
        <v>1.1399999999999999</v>
      </c>
      <c r="M258">
        <v>6.4</v>
      </c>
      <c r="N258">
        <v>18</v>
      </c>
    </row>
    <row r="259" spans="1:14" x14ac:dyDescent="0.2">
      <c r="A259" t="s">
        <v>19</v>
      </c>
      <c r="B259">
        <v>15</v>
      </c>
      <c r="C259" s="8" t="s">
        <v>42</v>
      </c>
      <c r="D259">
        <v>2022</v>
      </c>
      <c r="E259">
        <v>69.400000000000006</v>
      </c>
      <c r="F259">
        <v>0.13539999999999999</v>
      </c>
      <c r="G259">
        <v>101412.5</v>
      </c>
      <c r="H259">
        <v>0.04</v>
      </c>
      <c r="I259">
        <v>0.107</v>
      </c>
      <c r="J259">
        <v>51762.53</v>
      </c>
      <c r="K259">
        <v>44.6</v>
      </c>
      <c r="L259" s="2">
        <v>0.91</v>
      </c>
      <c r="M259">
        <v>7.3</v>
      </c>
      <c r="N259">
        <v>9</v>
      </c>
    </row>
    <row r="260" spans="1:14" x14ac:dyDescent="0.2">
      <c r="A260" t="s">
        <v>25</v>
      </c>
      <c r="B260">
        <v>16</v>
      </c>
      <c r="C260" s="8" t="s">
        <v>51</v>
      </c>
      <c r="D260">
        <v>2022</v>
      </c>
      <c r="E260">
        <v>68.2</v>
      </c>
      <c r="F260">
        <v>9.4799999999999995E-2</v>
      </c>
      <c r="G260">
        <v>264995.20000000001</v>
      </c>
      <c r="H260">
        <v>2.4E-2</v>
      </c>
      <c r="I260">
        <v>0.153</v>
      </c>
      <c r="J260">
        <v>26694.92</v>
      </c>
      <c r="K260">
        <v>243.8</v>
      </c>
      <c r="L260" s="2">
        <v>0.73</v>
      </c>
      <c r="M260">
        <v>14.2</v>
      </c>
      <c r="N260">
        <v>18</v>
      </c>
    </row>
    <row r="261" spans="1:14" x14ac:dyDescent="0.2">
      <c r="A261" t="s">
        <v>20</v>
      </c>
      <c r="B261">
        <v>17</v>
      </c>
      <c r="C261" s="8" t="s">
        <v>53</v>
      </c>
      <c r="D261">
        <v>2022</v>
      </c>
      <c r="E261">
        <v>101</v>
      </c>
      <c r="F261">
        <v>0.3115</v>
      </c>
      <c r="G261">
        <v>2080744.8</v>
      </c>
      <c r="H261">
        <v>4.5999999999999999E-2</v>
      </c>
      <c r="I261">
        <v>8.6999999999999994E-2</v>
      </c>
      <c r="J261">
        <v>28457.279999999999</v>
      </c>
      <c r="K261">
        <v>106.9</v>
      </c>
      <c r="L261" s="4">
        <v>1.0900000000000001</v>
      </c>
      <c r="M261">
        <v>0.8</v>
      </c>
      <c r="N261">
        <v>64</v>
      </c>
    </row>
    <row r="262" spans="1:14" x14ac:dyDescent="0.2">
      <c r="A262" t="s">
        <v>27</v>
      </c>
      <c r="B262">
        <v>18</v>
      </c>
      <c r="C262" s="8" t="s">
        <v>58</v>
      </c>
      <c r="D262">
        <v>2022</v>
      </c>
      <c r="E262">
        <v>115.5</v>
      </c>
      <c r="F262">
        <v>4.5100000000000001E-2</v>
      </c>
      <c r="G262">
        <v>856069.8</v>
      </c>
      <c r="H262">
        <v>2.5999999999999999E-2</v>
      </c>
      <c r="I262">
        <v>0.11600000000000001</v>
      </c>
      <c r="J262">
        <v>103240.52</v>
      </c>
      <c r="K262">
        <v>1646.4</v>
      </c>
      <c r="L262" s="2">
        <v>1.2</v>
      </c>
      <c r="M262">
        <v>2.7</v>
      </c>
      <c r="N262">
        <v>64</v>
      </c>
    </row>
    <row r="263" spans="1:14" x14ac:dyDescent="0.2">
      <c r="A263" t="s">
        <v>23</v>
      </c>
      <c r="B263">
        <v>19</v>
      </c>
      <c r="C263" s="8" t="s">
        <v>55</v>
      </c>
      <c r="D263">
        <v>2022</v>
      </c>
      <c r="E263">
        <v>71.599999999999994</v>
      </c>
      <c r="F263">
        <v>0.1497</v>
      </c>
      <c r="G263">
        <v>89635.3</v>
      </c>
      <c r="H263">
        <v>4.2000000000000003E-2</v>
      </c>
      <c r="I263">
        <v>0.189</v>
      </c>
      <c r="J263">
        <v>41619.620000000003</v>
      </c>
      <c r="K263">
        <v>510.2</v>
      </c>
      <c r="L263" s="2">
        <v>0.98</v>
      </c>
      <c r="M263">
        <v>14.8</v>
      </c>
      <c r="N263">
        <v>18</v>
      </c>
    </row>
    <row r="264" spans="1:14" x14ac:dyDescent="0.2">
      <c r="A264" t="s">
        <v>24</v>
      </c>
      <c r="B264">
        <v>20</v>
      </c>
      <c r="C264" s="8" t="s">
        <v>56</v>
      </c>
      <c r="D264">
        <v>2022</v>
      </c>
      <c r="E264">
        <v>138.69999999999999</v>
      </c>
      <c r="F264">
        <v>0.20169999999999999</v>
      </c>
      <c r="G264">
        <v>58700.2</v>
      </c>
      <c r="H264">
        <v>3.1E-2</v>
      </c>
      <c r="I264">
        <v>8.199999999999999E-2</v>
      </c>
      <c r="J264">
        <v>89445.17</v>
      </c>
      <c r="K264">
        <v>108.1</v>
      </c>
      <c r="L264" s="4">
        <v>1.32</v>
      </c>
      <c r="M264">
        <v>9.1</v>
      </c>
      <c r="N264">
        <v>64</v>
      </c>
    </row>
    <row r="265" spans="1:14" x14ac:dyDescent="0.2">
      <c r="A265" t="s">
        <v>22</v>
      </c>
      <c r="B265">
        <v>21</v>
      </c>
      <c r="C265" s="8" t="s">
        <v>54</v>
      </c>
      <c r="D265">
        <v>2022</v>
      </c>
      <c r="E265">
        <v>75.2</v>
      </c>
      <c r="F265">
        <v>0.1759</v>
      </c>
      <c r="G265">
        <v>47077.5</v>
      </c>
      <c r="H265">
        <v>4.7E-2</v>
      </c>
      <c r="I265">
        <v>0.17199999999999999</v>
      </c>
      <c r="J265">
        <v>28170.86</v>
      </c>
      <c r="K265">
        <v>123.4</v>
      </c>
      <c r="L265" s="4">
        <v>0.92</v>
      </c>
      <c r="M265">
        <v>11.4</v>
      </c>
      <c r="N265">
        <v>18</v>
      </c>
    </row>
    <row r="266" spans="1:14" x14ac:dyDescent="0.2">
      <c r="A266" t="s">
        <v>29</v>
      </c>
      <c r="B266">
        <v>22</v>
      </c>
      <c r="C266" s="8" t="s">
        <v>59</v>
      </c>
      <c r="D266">
        <v>2022</v>
      </c>
      <c r="E266">
        <v>60.5</v>
      </c>
      <c r="F266">
        <v>0.1464</v>
      </c>
      <c r="G266">
        <v>1063544.8</v>
      </c>
      <c r="H266">
        <v>1.7999999999999999E-2</v>
      </c>
      <c r="I266">
        <v>0.13200000000000001</v>
      </c>
      <c r="J266">
        <v>29777.11</v>
      </c>
      <c r="K266">
        <v>113.2</v>
      </c>
      <c r="L266" s="2">
        <v>0.86</v>
      </c>
      <c r="M266">
        <v>8.1</v>
      </c>
      <c r="N266">
        <v>18</v>
      </c>
    </row>
    <row r="267" spans="1:14" x14ac:dyDescent="0.2">
      <c r="A267" t="s">
        <v>30</v>
      </c>
      <c r="B267">
        <f>B255+1</f>
        <v>12</v>
      </c>
      <c r="C267" s="8" t="s">
        <v>60</v>
      </c>
      <c r="D267">
        <v>2022</v>
      </c>
      <c r="E267">
        <v>88.4</v>
      </c>
      <c r="F267">
        <v>0.21990000000000001</v>
      </c>
      <c r="G267">
        <v>291438.5</v>
      </c>
      <c r="H267">
        <v>4.0999999999999988E-2</v>
      </c>
      <c r="I267">
        <v>8.1000000000000003E-2</v>
      </c>
      <c r="J267">
        <v>19350.61</v>
      </c>
      <c r="K267">
        <v>82.2</v>
      </c>
      <c r="L267" s="4">
        <v>1.04</v>
      </c>
      <c r="M267">
        <v>2.5</v>
      </c>
      <c r="N267">
        <v>36</v>
      </c>
    </row>
    <row r="268" spans="1:14" x14ac:dyDescent="0.2">
      <c r="A268" t="s">
        <v>31</v>
      </c>
      <c r="B268">
        <v>24</v>
      </c>
      <c r="C268" s="8" t="s">
        <v>61</v>
      </c>
      <c r="D268">
        <v>2022</v>
      </c>
      <c r="E268">
        <v>56</v>
      </c>
      <c r="F268">
        <v>0.23619999999999999</v>
      </c>
      <c r="G268">
        <v>504107</v>
      </c>
      <c r="H268">
        <v>3.2000000000000001E-2</v>
      </c>
      <c r="I268">
        <v>0.12</v>
      </c>
      <c r="J268">
        <v>25875.7</v>
      </c>
      <c r="K268">
        <v>104.4</v>
      </c>
      <c r="L268" s="2">
        <v>0.66</v>
      </c>
      <c r="M268">
        <v>10.6</v>
      </c>
      <c r="N268">
        <v>15</v>
      </c>
    </row>
    <row r="269" spans="1:14" x14ac:dyDescent="0.2">
      <c r="A269" t="s">
        <v>35</v>
      </c>
      <c r="B269">
        <v>25</v>
      </c>
      <c r="C269" s="8" t="s">
        <v>65</v>
      </c>
      <c r="D269">
        <v>2022</v>
      </c>
      <c r="E269">
        <v>128.69999999999999</v>
      </c>
      <c r="F269">
        <v>0.2278</v>
      </c>
      <c r="G269">
        <v>436334.7</v>
      </c>
      <c r="H269">
        <v>5.5999999999999987E-2</v>
      </c>
      <c r="I269">
        <v>8.1000000000000003E-2</v>
      </c>
      <c r="J269">
        <v>33573.879999999997</v>
      </c>
      <c r="K269">
        <v>112.1</v>
      </c>
      <c r="L269" s="2">
        <v>1.07</v>
      </c>
      <c r="M269">
        <v>4.2</v>
      </c>
      <c r="N269">
        <v>27</v>
      </c>
    </row>
    <row r="270" spans="1:14" x14ac:dyDescent="0.2">
      <c r="A270" t="s">
        <v>32</v>
      </c>
      <c r="B270">
        <v>26</v>
      </c>
      <c r="C270" s="8" t="s">
        <v>63</v>
      </c>
      <c r="D270">
        <v>2022</v>
      </c>
      <c r="E270">
        <v>87.1</v>
      </c>
      <c r="F270">
        <v>0.13900000000000001</v>
      </c>
      <c r="G270">
        <v>67626.600000000006</v>
      </c>
      <c r="H270">
        <v>2.5999999999999999E-2</v>
      </c>
      <c r="I270">
        <v>9.3000000000000013E-2</v>
      </c>
      <c r="J270">
        <v>46073.19</v>
      </c>
      <c r="K270">
        <v>18.2</v>
      </c>
      <c r="L270" s="4">
        <v>0.87</v>
      </c>
      <c r="M270">
        <v>6</v>
      </c>
      <c r="N270">
        <v>18</v>
      </c>
    </row>
    <row r="271" spans="1:14" x14ac:dyDescent="0.2">
      <c r="A271" t="s">
        <v>33</v>
      </c>
      <c r="B271">
        <v>27</v>
      </c>
      <c r="C271" s="8" t="s">
        <v>62</v>
      </c>
      <c r="D271">
        <v>2022</v>
      </c>
      <c r="E271">
        <v>82.4</v>
      </c>
      <c r="F271">
        <v>0.17960000000000001</v>
      </c>
      <c r="G271">
        <v>139927.6</v>
      </c>
      <c r="H271">
        <v>4.0999999999999988E-2</v>
      </c>
      <c r="I271">
        <v>0.121</v>
      </c>
      <c r="J271">
        <v>73369.08</v>
      </c>
      <c r="K271">
        <v>25.4</v>
      </c>
      <c r="L271" s="2">
        <v>0.71</v>
      </c>
      <c r="M271">
        <v>7.5</v>
      </c>
      <c r="N271">
        <v>18</v>
      </c>
    </row>
    <row r="272" spans="1:14" x14ac:dyDescent="0.2">
      <c r="A272" t="s">
        <v>28</v>
      </c>
      <c r="B272">
        <v>1</v>
      </c>
      <c r="C272" s="8" t="s">
        <v>39</v>
      </c>
      <c r="D272">
        <v>2023</v>
      </c>
      <c r="E272">
        <v>108.8</v>
      </c>
      <c r="F272">
        <v>0.26529999999999998</v>
      </c>
      <c r="G272">
        <v>417576.3</v>
      </c>
      <c r="H272">
        <v>3.5000000000000003E-2</v>
      </c>
      <c r="I272">
        <v>7.6999999999999999E-2</v>
      </c>
      <c r="J272">
        <v>86394.41</v>
      </c>
      <c r="K272">
        <v>383.6</v>
      </c>
      <c r="L272" s="4">
        <v>0.96</v>
      </c>
      <c r="M272">
        <v>8.6</v>
      </c>
      <c r="N272">
        <v>28</v>
      </c>
    </row>
    <row r="273" spans="1:14" x14ac:dyDescent="0.2">
      <c r="A273" t="s">
        <v>9</v>
      </c>
      <c r="B273">
        <v>2</v>
      </c>
      <c r="C273" s="8" t="s">
        <v>40</v>
      </c>
      <c r="D273">
        <v>2023</v>
      </c>
      <c r="E273">
        <v>117.5</v>
      </c>
      <c r="F273">
        <v>0.435</v>
      </c>
      <c r="G273">
        <v>528155.19999999995</v>
      </c>
      <c r="H273">
        <v>3.4000000000000002E-2</v>
      </c>
      <c r="I273">
        <v>2.3E-2</v>
      </c>
      <c r="J273">
        <v>77366.080000000002</v>
      </c>
      <c r="K273">
        <v>58.8</v>
      </c>
      <c r="L273" s="2">
        <v>1.02</v>
      </c>
      <c r="M273">
        <v>7.7</v>
      </c>
      <c r="N273">
        <v>65</v>
      </c>
    </row>
    <row r="274" spans="1:14" x14ac:dyDescent="0.2">
      <c r="A274" t="s">
        <v>10</v>
      </c>
      <c r="B274">
        <v>3</v>
      </c>
      <c r="C274" s="8" t="s">
        <v>41</v>
      </c>
      <c r="D274">
        <v>2023</v>
      </c>
      <c r="E274">
        <v>58</v>
      </c>
      <c r="F274">
        <v>0.1138</v>
      </c>
      <c r="G274">
        <v>156882.29999999999</v>
      </c>
      <c r="H274">
        <v>2.7E-2</v>
      </c>
      <c r="I274">
        <v>8.5999999999999993E-2</v>
      </c>
      <c r="J274">
        <v>21007.9</v>
      </c>
      <c r="K274">
        <v>138.19999999999999</v>
      </c>
      <c r="L274" s="4">
        <v>0.72</v>
      </c>
      <c r="M274">
        <v>11</v>
      </c>
      <c r="N274">
        <v>16</v>
      </c>
    </row>
    <row r="275" spans="1:14" x14ac:dyDescent="0.2">
      <c r="A275" t="s">
        <v>21</v>
      </c>
      <c r="B275">
        <v>4</v>
      </c>
      <c r="C275" s="8" t="s">
        <v>44</v>
      </c>
      <c r="D275">
        <v>2023</v>
      </c>
      <c r="E275">
        <v>93.4</v>
      </c>
      <c r="F275">
        <v>0.37390000000000001</v>
      </c>
      <c r="G275">
        <v>34415.300000000003</v>
      </c>
      <c r="H275">
        <v>4.2000000000000003E-2</v>
      </c>
      <c r="I275">
        <v>3.9E-2</v>
      </c>
      <c r="J275">
        <v>26799.61</v>
      </c>
      <c r="K275">
        <v>140.6</v>
      </c>
      <c r="L275" s="2">
        <v>1.1299999999999999</v>
      </c>
      <c r="M275">
        <v>3.7</v>
      </c>
      <c r="N275">
        <v>19</v>
      </c>
    </row>
    <row r="276" spans="1:14" x14ac:dyDescent="0.2">
      <c r="A276" t="s">
        <v>11</v>
      </c>
      <c r="B276">
        <v>5</v>
      </c>
      <c r="C276" s="8" t="s">
        <v>43</v>
      </c>
      <c r="D276">
        <v>2023</v>
      </c>
      <c r="E276">
        <v>89.7</v>
      </c>
      <c r="F276">
        <v>0.31900000000000001</v>
      </c>
      <c r="G276">
        <v>375117.7</v>
      </c>
      <c r="H276">
        <v>1.7000000000000001E-2</v>
      </c>
      <c r="I276">
        <v>0.12</v>
      </c>
      <c r="J276">
        <v>47737.9</v>
      </c>
      <c r="K276">
        <v>235.4</v>
      </c>
      <c r="L276" s="2">
        <v>0.86</v>
      </c>
      <c r="M276">
        <v>7.4</v>
      </c>
      <c r="N276">
        <v>19</v>
      </c>
    </row>
    <row r="277" spans="1:14" x14ac:dyDescent="0.2">
      <c r="A277" t="s">
        <v>13</v>
      </c>
      <c r="B277">
        <v>6</v>
      </c>
      <c r="C277" s="8" t="s">
        <v>49</v>
      </c>
      <c r="D277">
        <v>2023</v>
      </c>
      <c r="E277">
        <v>108.4</v>
      </c>
      <c r="F277">
        <v>0.41249999999999998</v>
      </c>
      <c r="G277">
        <v>3739435.4</v>
      </c>
      <c r="H277">
        <v>2.1999999999999999E-2</v>
      </c>
      <c r="I277">
        <v>0.06</v>
      </c>
      <c r="J277">
        <v>36815.15</v>
      </c>
      <c r="K277">
        <v>31.3</v>
      </c>
      <c r="L277" s="2">
        <v>1.08</v>
      </c>
      <c r="M277">
        <v>6.7</v>
      </c>
      <c r="N277">
        <v>65</v>
      </c>
    </row>
    <row r="278" spans="1:14" x14ac:dyDescent="0.2">
      <c r="A278" t="s">
        <v>12</v>
      </c>
      <c r="B278">
        <v>7</v>
      </c>
      <c r="C278" s="8" t="s">
        <v>45</v>
      </c>
      <c r="D278">
        <v>2023</v>
      </c>
      <c r="E278">
        <v>147.4</v>
      </c>
      <c r="F278">
        <v>0.38109999999999999</v>
      </c>
      <c r="G278">
        <v>284515.20000000001</v>
      </c>
      <c r="H278">
        <v>3.7000000000000012E-2</v>
      </c>
      <c r="I278">
        <v>3.4000000000000002E-2</v>
      </c>
      <c r="J278">
        <v>88318.32</v>
      </c>
      <c r="K278">
        <v>75.900000000000006</v>
      </c>
      <c r="L278" s="4">
        <v>1.18</v>
      </c>
      <c r="M278">
        <v>1.9</v>
      </c>
      <c r="N278">
        <v>50</v>
      </c>
    </row>
    <row r="279" spans="1:14" x14ac:dyDescent="0.2">
      <c r="A279" t="s">
        <v>34</v>
      </c>
      <c r="B279">
        <v>8</v>
      </c>
      <c r="C279" s="8" t="s">
        <v>47</v>
      </c>
      <c r="D279">
        <v>2023</v>
      </c>
      <c r="E279">
        <v>126</v>
      </c>
      <c r="F279">
        <v>0.25569999999999998</v>
      </c>
      <c r="G279">
        <v>223220.4</v>
      </c>
      <c r="H279">
        <v>0.05</v>
      </c>
      <c r="I279">
        <v>4.2999999999999997E-2</v>
      </c>
      <c r="J279">
        <v>38573.56</v>
      </c>
      <c r="K279">
        <v>80.3</v>
      </c>
      <c r="L279" s="4">
        <v>1.0900000000000001</v>
      </c>
      <c r="M279">
        <v>5</v>
      </c>
      <c r="N279">
        <v>28</v>
      </c>
    </row>
    <row r="280" spans="1:14" x14ac:dyDescent="0.2">
      <c r="A280" t="s">
        <v>18</v>
      </c>
      <c r="B280">
        <v>9</v>
      </c>
      <c r="C280" s="8" t="s">
        <v>48</v>
      </c>
      <c r="D280">
        <v>2023</v>
      </c>
      <c r="E280">
        <v>112.4</v>
      </c>
      <c r="F280">
        <v>0.23</v>
      </c>
      <c r="G280">
        <v>2583837.2000000002</v>
      </c>
      <c r="H280">
        <v>4.7E-2</v>
      </c>
      <c r="I280">
        <v>5.7000000000000002E-2</v>
      </c>
      <c r="J280">
        <v>74928.89</v>
      </c>
      <c r="K280">
        <v>95.1</v>
      </c>
      <c r="L280" s="4">
        <v>0.97</v>
      </c>
      <c r="M280">
        <v>4.2</v>
      </c>
      <c r="N280">
        <v>65</v>
      </c>
    </row>
    <row r="281" spans="1:14" x14ac:dyDescent="0.2">
      <c r="A281" t="s">
        <v>14</v>
      </c>
      <c r="B281">
        <v>10</v>
      </c>
      <c r="C281" s="8" t="s">
        <v>46</v>
      </c>
      <c r="D281">
        <v>2023</v>
      </c>
      <c r="E281">
        <v>99.3</v>
      </c>
      <c r="F281">
        <v>0.216</v>
      </c>
      <c r="G281">
        <v>41599.599999999999</v>
      </c>
      <c r="H281">
        <v>4.7E-2</v>
      </c>
      <c r="I281">
        <v>9.0999999999999998E-2</v>
      </c>
      <c r="J281">
        <v>66602.92</v>
      </c>
      <c r="K281">
        <v>107.6</v>
      </c>
      <c r="L281" s="4">
        <v>0.97</v>
      </c>
      <c r="M281">
        <v>15</v>
      </c>
      <c r="N281">
        <v>19</v>
      </c>
    </row>
    <row r="282" spans="1:14" x14ac:dyDescent="0.2">
      <c r="A282" t="s">
        <v>16</v>
      </c>
      <c r="B282">
        <v>11</v>
      </c>
      <c r="C282" s="8" t="s">
        <v>50</v>
      </c>
      <c r="D282">
        <v>2023</v>
      </c>
      <c r="E282">
        <v>87.4</v>
      </c>
      <c r="F282">
        <v>0.23269999999999999</v>
      </c>
      <c r="G282">
        <v>278033.59999999998</v>
      </c>
      <c r="H282">
        <v>6.7000000000000004E-2</v>
      </c>
      <c r="I282">
        <v>4.2000000000000003E-2</v>
      </c>
      <c r="J282">
        <v>82401.95</v>
      </c>
      <c r="K282">
        <v>69</v>
      </c>
      <c r="L282" s="4">
        <v>0.88</v>
      </c>
      <c r="M282">
        <v>1.8</v>
      </c>
      <c r="N282">
        <v>42</v>
      </c>
    </row>
    <row r="283" spans="1:14" x14ac:dyDescent="0.2">
      <c r="A283" t="s">
        <v>17</v>
      </c>
      <c r="B283">
        <v>12</v>
      </c>
      <c r="C283" s="8" t="s">
        <v>64</v>
      </c>
      <c r="D283">
        <v>2023</v>
      </c>
      <c r="E283">
        <v>93.6</v>
      </c>
      <c r="F283">
        <v>0.24540000000000001</v>
      </c>
      <c r="G283">
        <v>1669769.2</v>
      </c>
      <c r="H283">
        <v>0.08</v>
      </c>
      <c r="I283">
        <v>3.4000000000000002E-2</v>
      </c>
      <c r="J283">
        <v>39191.910000000003</v>
      </c>
      <c r="K283">
        <v>198.1</v>
      </c>
      <c r="L283" s="2">
        <v>1.05</v>
      </c>
      <c r="M283">
        <v>6.2</v>
      </c>
      <c r="N283">
        <v>37</v>
      </c>
    </row>
    <row r="284" spans="1:14" x14ac:dyDescent="0.2">
      <c r="A284" t="s">
        <v>15</v>
      </c>
      <c r="B284">
        <v>13</v>
      </c>
      <c r="C284" s="8" t="s">
        <v>52</v>
      </c>
      <c r="D284">
        <v>2023</v>
      </c>
      <c r="E284">
        <v>138.30000000000001</v>
      </c>
      <c r="F284">
        <v>0.27350000000000002</v>
      </c>
      <c r="G284">
        <v>430117.7</v>
      </c>
      <c r="H284">
        <v>3.1E-2</v>
      </c>
      <c r="I284">
        <v>5.1999999999999998E-2</v>
      </c>
      <c r="J284">
        <v>27532.43</v>
      </c>
      <c r="K284">
        <v>100.6</v>
      </c>
      <c r="L284" s="2">
        <v>1.25</v>
      </c>
      <c r="M284">
        <v>16.7</v>
      </c>
      <c r="N284">
        <v>50</v>
      </c>
    </row>
    <row r="285" spans="1:14" x14ac:dyDescent="0.2">
      <c r="A285" t="s">
        <v>26</v>
      </c>
      <c r="B285">
        <v>14</v>
      </c>
      <c r="C285" s="8" t="s">
        <v>57</v>
      </c>
      <c r="D285">
        <v>2023</v>
      </c>
      <c r="E285">
        <v>92.3</v>
      </c>
      <c r="F285">
        <v>0.12609999999999999</v>
      </c>
      <c r="G285">
        <v>22624.2</v>
      </c>
      <c r="H285">
        <v>2.5000000000000001E-2</v>
      </c>
      <c r="I285">
        <v>5.5999999999999987E-2</v>
      </c>
      <c r="J285">
        <v>91633.63</v>
      </c>
      <c r="K285">
        <v>29.7</v>
      </c>
      <c r="L285" s="4">
        <v>1.1200000000000001</v>
      </c>
      <c r="M285">
        <v>1.6</v>
      </c>
      <c r="N285">
        <v>19</v>
      </c>
    </row>
    <row r="286" spans="1:14" x14ac:dyDescent="0.2">
      <c r="A286" t="s">
        <v>19</v>
      </c>
      <c r="B286">
        <v>15</v>
      </c>
      <c r="C286" s="8" t="s">
        <v>42</v>
      </c>
      <c r="D286">
        <v>2023</v>
      </c>
      <c r="E286">
        <v>72.599999999999994</v>
      </c>
      <c r="F286">
        <v>0.14799999999999999</v>
      </c>
      <c r="G286">
        <v>114217.8</v>
      </c>
      <c r="H286">
        <v>3.5999999999999997E-2</v>
      </c>
      <c r="I286">
        <v>8.4000000000000005E-2</v>
      </c>
      <c r="J286">
        <v>53633.5</v>
      </c>
      <c r="K286">
        <v>45.2</v>
      </c>
      <c r="L286" s="2">
        <v>0.89</v>
      </c>
      <c r="M286">
        <v>14.9</v>
      </c>
      <c r="N286">
        <v>10</v>
      </c>
    </row>
    <row r="287" spans="1:14" x14ac:dyDescent="0.2">
      <c r="A287" t="s">
        <v>25</v>
      </c>
      <c r="B287">
        <v>16</v>
      </c>
      <c r="C287" s="8" t="s">
        <v>51</v>
      </c>
      <c r="D287">
        <v>2023</v>
      </c>
      <c r="E287">
        <v>67.3</v>
      </c>
      <c r="F287">
        <v>0.1157</v>
      </c>
      <c r="G287">
        <v>282349.5</v>
      </c>
      <c r="H287">
        <v>2.8000000000000001E-2</v>
      </c>
      <c r="I287">
        <v>0.17</v>
      </c>
      <c r="J287">
        <v>29236</v>
      </c>
      <c r="K287">
        <v>252.6</v>
      </c>
      <c r="L287" s="2">
        <v>0.72</v>
      </c>
      <c r="M287">
        <v>15.8</v>
      </c>
      <c r="N287">
        <v>19</v>
      </c>
    </row>
    <row r="288" spans="1:14" x14ac:dyDescent="0.2">
      <c r="A288" t="s">
        <v>20</v>
      </c>
      <c r="B288">
        <v>17</v>
      </c>
      <c r="C288" s="8" t="s">
        <v>53</v>
      </c>
      <c r="D288">
        <v>2023</v>
      </c>
      <c r="E288">
        <v>99.8</v>
      </c>
      <c r="F288">
        <v>0.37819999999999998</v>
      </c>
      <c r="G288">
        <v>2215927.6</v>
      </c>
      <c r="H288">
        <v>4.3999999999999997E-2</v>
      </c>
      <c r="I288">
        <v>5.8999999999999997E-2</v>
      </c>
      <c r="J288">
        <v>31624.83</v>
      </c>
      <c r="K288">
        <v>105.3</v>
      </c>
      <c r="L288" s="4">
        <v>1.05</v>
      </c>
      <c r="M288">
        <v>3.8</v>
      </c>
      <c r="N288">
        <v>65</v>
      </c>
    </row>
    <row r="289" spans="1:14" x14ac:dyDescent="0.2">
      <c r="A289" t="s">
        <v>27</v>
      </c>
      <c r="B289">
        <v>18</v>
      </c>
      <c r="C289" s="8" t="s">
        <v>58</v>
      </c>
      <c r="D289">
        <v>2023</v>
      </c>
      <c r="E289">
        <v>114.7</v>
      </c>
      <c r="F289">
        <v>0.3795</v>
      </c>
      <c r="G289">
        <v>908262.5</v>
      </c>
      <c r="H289">
        <v>2.7E-2</v>
      </c>
      <c r="I289">
        <v>4.0999999999999988E-2</v>
      </c>
      <c r="J289">
        <v>107137.13</v>
      </c>
      <c r="K289">
        <v>1696.8</v>
      </c>
      <c r="L289" s="2">
        <v>1.18</v>
      </c>
      <c r="M289">
        <v>7.9</v>
      </c>
      <c r="N289">
        <v>65</v>
      </c>
    </row>
    <row r="290" spans="1:14" x14ac:dyDescent="0.2">
      <c r="A290" t="s">
        <v>23</v>
      </c>
      <c r="B290">
        <v>19</v>
      </c>
      <c r="C290" s="8" t="s">
        <v>55</v>
      </c>
      <c r="D290">
        <v>2023</v>
      </c>
      <c r="E290">
        <v>78.900000000000006</v>
      </c>
      <c r="F290">
        <v>0.28199999999999997</v>
      </c>
      <c r="G290">
        <v>94861.4</v>
      </c>
      <c r="H290">
        <v>4.8000000000000001E-2</v>
      </c>
      <c r="I290">
        <v>8.6999999999999994E-2</v>
      </c>
      <c r="J290">
        <v>43340.1</v>
      </c>
      <c r="K290">
        <v>517.79999999999995</v>
      </c>
      <c r="L290" s="2">
        <v>0.94</v>
      </c>
      <c r="M290">
        <v>12.4</v>
      </c>
      <c r="N290">
        <v>19</v>
      </c>
    </row>
    <row r="291" spans="1:14" x14ac:dyDescent="0.2">
      <c r="A291" t="s">
        <v>24</v>
      </c>
      <c r="B291">
        <v>20</v>
      </c>
      <c r="C291" s="8" t="s">
        <v>56</v>
      </c>
      <c r="D291">
        <v>2023</v>
      </c>
      <c r="E291">
        <v>137.1</v>
      </c>
      <c r="F291">
        <v>0.20080000000000001</v>
      </c>
      <c r="G291">
        <v>61583.3</v>
      </c>
      <c r="H291">
        <v>3.5000000000000003E-2</v>
      </c>
      <c r="I291">
        <v>2.9000000000000001E-2</v>
      </c>
      <c r="J291">
        <v>95580.75</v>
      </c>
      <c r="K291">
        <v>109.6</v>
      </c>
      <c r="L291" s="4">
        <v>1.3</v>
      </c>
      <c r="M291">
        <v>5.3</v>
      </c>
      <c r="N291">
        <v>65</v>
      </c>
    </row>
    <row r="292" spans="1:14" x14ac:dyDescent="0.2">
      <c r="A292" t="s">
        <v>22</v>
      </c>
      <c r="B292">
        <v>21</v>
      </c>
      <c r="C292" s="8" t="s">
        <v>54</v>
      </c>
      <c r="D292">
        <v>2023</v>
      </c>
      <c r="E292">
        <v>80.599999999999994</v>
      </c>
      <c r="F292">
        <v>0.3054</v>
      </c>
      <c r="G292">
        <v>50929.599999999999</v>
      </c>
      <c r="H292">
        <v>4.4999999999999998E-2</v>
      </c>
      <c r="I292">
        <v>9.0999999999999998E-2</v>
      </c>
      <c r="J292">
        <v>32238.13</v>
      </c>
      <c r="K292">
        <v>119.8</v>
      </c>
      <c r="L292" s="4">
        <v>0.95</v>
      </c>
      <c r="M292">
        <v>12.6</v>
      </c>
      <c r="N292">
        <v>19</v>
      </c>
    </row>
    <row r="293" spans="1:14" x14ac:dyDescent="0.2">
      <c r="A293" t="s">
        <v>29</v>
      </c>
      <c r="B293">
        <v>22</v>
      </c>
      <c r="C293" s="8" t="s">
        <v>59</v>
      </c>
      <c r="D293">
        <v>2023</v>
      </c>
      <c r="E293">
        <v>61.6</v>
      </c>
      <c r="F293">
        <v>0.1769</v>
      </c>
      <c r="G293">
        <v>1112989.2</v>
      </c>
      <c r="H293">
        <v>1.7999999999999999E-2</v>
      </c>
      <c r="I293">
        <v>0.109</v>
      </c>
      <c r="J293">
        <v>32102.18</v>
      </c>
      <c r="K293">
        <v>115</v>
      </c>
      <c r="L293" s="2">
        <v>0.86</v>
      </c>
      <c r="M293">
        <v>13.9</v>
      </c>
      <c r="N293">
        <v>19</v>
      </c>
    </row>
    <row r="294" spans="1:14" x14ac:dyDescent="0.2">
      <c r="A294" t="s">
        <v>30</v>
      </c>
      <c r="B294">
        <f>B282+1</f>
        <v>12</v>
      </c>
      <c r="C294" s="8" t="s">
        <v>60</v>
      </c>
      <c r="D294">
        <v>2023</v>
      </c>
      <c r="E294">
        <v>87.3</v>
      </c>
      <c r="F294">
        <v>0.20710000000000001</v>
      </c>
      <c r="G294">
        <v>325503.09999999998</v>
      </c>
      <c r="H294">
        <v>4.3999999999999997E-2</v>
      </c>
      <c r="I294">
        <v>5.2999999999999999E-2</v>
      </c>
      <c r="J294">
        <v>22340.71</v>
      </c>
      <c r="K294">
        <v>81.3</v>
      </c>
      <c r="L294" s="4">
        <v>1.07</v>
      </c>
      <c r="M294">
        <v>7.1</v>
      </c>
      <c r="N294">
        <v>37</v>
      </c>
    </row>
    <row r="295" spans="1:14" x14ac:dyDescent="0.2">
      <c r="A295" t="s">
        <v>31</v>
      </c>
      <c r="B295">
        <v>24</v>
      </c>
      <c r="C295" s="8" t="s">
        <v>61</v>
      </c>
      <c r="D295">
        <v>2023</v>
      </c>
      <c r="E295">
        <v>59.9</v>
      </c>
      <c r="F295">
        <v>0.18920000000000001</v>
      </c>
      <c r="G295">
        <v>566084.1</v>
      </c>
      <c r="H295">
        <v>3.2000000000000001E-2</v>
      </c>
      <c r="I295">
        <v>9.6999999999999989E-2</v>
      </c>
      <c r="J295">
        <v>30855.119999999999</v>
      </c>
      <c r="K295">
        <v>104.8</v>
      </c>
      <c r="L295" s="2">
        <v>0.67</v>
      </c>
      <c r="M295">
        <v>13.3</v>
      </c>
      <c r="N295">
        <v>16</v>
      </c>
    </row>
    <row r="296" spans="1:14" x14ac:dyDescent="0.2">
      <c r="A296" t="s">
        <v>35</v>
      </c>
      <c r="B296">
        <v>25</v>
      </c>
      <c r="C296" s="8" t="s">
        <v>65</v>
      </c>
      <c r="D296">
        <v>2023</v>
      </c>
      <c r="E296">
        <v>122.7</v>
      </c>
      <c r="F296">
        <v>0.26619999999999999</v>
      </c>
      <c r="G296">
        <v>459804.5</v>
      </c>
      <c r="H296">
        <v>5.8000000000000003E-2</v>
      </c>
      <c r="I296">
        <v>5.8999999999999997E-2</v>
      </c>
      <c r="J296">
        <v>36666.230000000003</v>
      </c>
      <c r="K296">
        <v>111.5</v>
      </c>
      <c r="L296" s="2">
        <v>1.08</v>
      </c>
      <c r="M296">
        <v>6.8</v>
      </c>
      <c r="N296">
        <v>28</v>
      </c>
    </row>
    <row r="297" spans="1:14" x14ac:dyDescent="0.2">
      <c r="A297" t="s">
        <v>32</v>
      </c>
      <c r="B297">
        <v>26</v>
      </c>
      <c r="C297" s="8" t="s">
        <v>63</v>
      </c>
      <c r="D297">
        <v>2023</v>
      </c>
      <c r="E297">
        <v>88.4</v>
      </c>
      <c r="F297">
        <v>0.19170000000000001</v>
      </c>
      <c r="G297">
        <v>74227</v>
      </c>
      <c r="H297">
        <v>2.4E-2</v>
      </c>
      <c r="I297">
        <v>7.2000000000000008E-2</v>
      </c>
      <c r="J297">
        <v>48112.15</v>
      </c>
      <c r="K297">
        <v>18.3</v>
      </c>
      <c r="L297" s="4">
        <v>0.87</v>
      </c>
      <c r="M297">
        <v>8.1999999999999993</v>
      </c>
      <c r="N297">
        <v>19</v>
      </c>
    </row>
    <row r="298" spans="1:14" x14ac:dyDescent="0.2">
      <c r="A298" t="s">
        <v>33</v>
      </c>
      <c r="B298">
        <v>27</v>
      </c>
      <c r="C298" s="8" t="s">
        <v>62</v>
      </c>
      <c r="D298">
        <v>2023</v>
      </c>
      <c r="E298">
        <v>85.2</v>
      </c>
      <c r="F298">
        <v>0.18920000000000001</v>
      </c>
      <c r="G298">
        <v>154745.79999999999</v>
      </c>
      <c r="H298">
        <v>3.9E-2</v>
      </c>
      <c r="I298">
        <v>0.11</v>
      </c>
      <c r="J298">
        <v>71184.44</v>
      </c>
      <c r="K298">
        <v>25.7</v>
      </c>
      <c r="L298" s="2">
        <v>0.71</v>
      </c>
      <c r="M298">
        <v>8.8000000000000007</v>
      </c>
      <c r="N298">
        <v>19</v>
      </c>
    </row>
    <row r="299" spans="1:14" x14ac:dyDescent="0.2">
      <c r="A299" t="s">
        <v>28</v>
      </c>
      <c r="B299">
        <v>1</v>
      </c>
      <c r="C299" s="8" t="s">
        <v>39</v>
      </c>
      <c r="D299">
        <v>2024</v>
      </c>
      <c r="E299">
        <v>111.7</v>
      </c>
      <c r="F299">
        <v>0.27310000000000001</v>
      </c>
      <c r="G299">
        <v>419801.1</v>
      </c>
      <c r="H299">
        <v>3.5999999999999997E-2</v>
      </c>
      <c r="I299">
        <v>2.9000000000000001E-2</v>
      </c>
      <c r="J299">
        <v>93721.82</v>
      </c>
      <c r="K299">
        <v>386.8</v>
      </c>
      <c r="L299" s="6">
        <v>0.94</v>
      </c>
      <c r="M299">
        <v>10.1</v>
      </c>
      <c r="N299">
        <v>29</v>
      </c>
    </row>
    <row r="300" spans="1:14" x14ac:dyDescent="0.2">
      <c r="A300" t="s">
        <v>9</v>
      </c>
      <c r="B300">
        <v>2</v>
      </c>
      <c r="C300" s="8" t="s">
        <v>40</v>
      </c>
      <c r="D300">
        <v>2024</v>
      </c>
      <c r="E300">
        <v>117.4</v>
      </c>
      <c r="F300">
        <v>0.33539999999999998</v>
      </c>
      <c r="G300">
        <v>547837.9</v>
      </c>
      <c r="H300">
        <v>3.5000000000000003E-2</v>
      </c>
      <c r="I300">
        <v>4.2999999999999997E-2</v>
      </c>
      <c r="J300">
        <v>80070.38</v>
      </c>
      <c r="K300">
        <v>58.6</v>
      </c>
      <c r="L300" s="7">
        <v>1</v>
      </c>
      <c r="M300">
        <v>2.2000000000000002</v>
      </c>
      <c r="N300">
        <v>66</v>
      </c>
    </row>
    <row r="301" spans="1:14" x14ac:dyDescent="0.2">
      <c r="A301" t="s">
        <v>10</v>
      </c>
      <c r="B301">
        <v>3</v>
      </c>
      <c r="C301" s="8" t="s">
        <v>41</v>
      </c>
      <c r="D301">
        <v>2024</v>
      </c>
      <c r="E301">
        <v>59.2</v>
      </c>
      <c r="F301">
        <v>0.1187</v>
      </c>
      <c r="G301">
        <v>168975.2</v>
      </c>
      <c r="H301">
        <v>2.5999999999999999E-2</v>
      </c>
      <c r="I301">
        <v>2.5999999999999999E-2</v>
      </c>
      <c r="J301">
        <v>23374.92</v>
      </c>
      <c r="K301">
        <v>140.69999999999999</v>
      </c>
      <c r="L301" s="6">
        <v>0.7</v>
      </c>
      <c r="M301">
        <v>9</v>
      </c>
      <c r="N301">
        <v>17</v>
      </c>
    </row>
    <row r="302" spans="1:14" x14ac:dyDescent="0.2">
      <c r="A302" t="s">
        <v>21</v>
      </c>
      <c r="B302">
        <v>4</v>
      </c>
      <c r="C302" s="8" t="s">
        <v>44</v>
      </c>
      <c r="D302">
        <v>2024</v>
      </c>
      <c r="E302">
        <v>93</v>
      </c>
      <c r="F302">
        <v>0.3241</v>
      </c>
      <c r="G302">
        <v>36855</v>
      </c>
      <c r="H302">
        <v>3.5000000000000003E-2</v>
      </c>
      <c r="I302">
        <v>2.3E-2</v>
      </c>
      <c r="J302">
        <v>29522.86</v>
      </c>
      <c r="K302">
        <v>141.6</v>
      </c>
      <c r="L302" s="6">
        <v>1.1099999999999999</v>
      </c>
      <c r="M302">
        <v>3.1</v>
      </c>
      <c r="N302">
        <v>20</v>
      </c>
    </row>
    <row r="303" spans="1:14" x14ac:dyDescent="0.2">
      <c r="A303" t="s">
        <v>11</v>
      </c>
      <c r="B303">
        <v>5</v>
      </c>
      <c r="C303" s="8" t="s">
        <v>43</v>
      </c>
      <c r="D303">
        <v>2024</v>
      </c>
      <c r="E303">
        <v>92.7</v>
      </c>
      <c r="F303">
        <v>0.33810000000000001</v>
      </c>
      <c r="G303">
        <v>393717.7</v>
      </c>
      <c r="H303">
        <v>1.7999999999999999E-2</v>
      </c>
      <c r="I303">
        <v>2.7E-2</v>
      </c>
      <c r="J303">
        <v>49273.1</v>
      </c>
      <c r="K303">
        <v>235.8</v>
      </c>
      <c r="L303" s="6">
        <v>0.84</v>
      </c>
      <c r="M303">
        <v>5</v>
      </c>
      <c r="N303">
        <v>20</v>
      </c>
    </row>
    <row r="304" spans="1:14" x14ac:dyDescent="0.2">
      <c r="A304" t="s">
        <v>13</v>
      </c>
      <c r="B304">
        <v>6</v>
      </c>
      <c r="C304" s="8" t="s">
        <v>49</v>
      </c>
      <c r="D304">
        <v>2024</v>
      </c>
      <c r="E304">
        <v>108.5</v>
      </c>
      <c r="F304">
        <v>0.39510000000000001</v>
      </c>
      <c r="G304">
        <v>3860181.1</v>
      </c>
      <c r="H304">
        <v>2.4E-2</v>
      </c>
      <c r="I304">
        <v>2.5000000000000001E-2</v>
      </c>
      <c r="J304">
        <v>36075.78</v>
      </c>
      <c r="K304">
        <v>31.8</v>
      </c>
      <c r="L304" s="6">
        <v>1.06</v>
      </c>
      <c r="M304">
        <v>5.5</v>
      </c>
      <c r="N304">
        <v>66</v>
      </c>
    </row>
    <row r="305" spans="1:14" x14ac:dyDescent="0.2">
      <c r="A305" t="s">
        <v>12</v>
      </c>
      <c r="B305">
        <v>7</v>
      </c>
      <c r="C305" s="8" t="s">
        <v>45</v>
      </c>
      <c r="D305">
        <v>2024</v>
      </c>
      <c r="E305">
        <v>145.1</v>
      </c>
      <c r="F305">
        <v>0.37080000000000002</v>
      </c>
      <c r="G305">
        <v>303941.5</v>
      </c>
      <c r="H305">
        <v>4.5999999999999999E-2</v>
      </c>
      <c r="I305">
        <v>1.2999999999999999E-2</v>
      </c>
      <c r="J305">
        <v>91712.37</v>
      </c>
      <c r="K305">
        <v>77.400000000000006</v>
      </c>
      <c r="L305" s="6">
        <v>1.1599999999999999</v>
      </c>
      <c r="M305">
        <v>1.4</v>
      </c>
      <c r="N305">
        <v>51</v>
      </c>
    </row>
    <row r="306" spans="1:14" x14ac:dyDescent="0.2">
      <c r="A306" t="s">
        <v>34</v>
      </c>
      <c r="B306">
        <v>8</v>
      </c>
      <c r="C306" s="8" t="s">
        <v>47</v>
      </c>
      <c r="D306">
        <v>2024</v>
      </c>
      <c r="E306">
        <v>124.4</v>
      </c>
      <c r="F306">
        <v>0.2918</v>
      </c>
      <c r="G306">
        <v>230145.3</v>
      </c>
      <c r="H306">
        <v>5.8000000000000003E-2</v>
      </c>
      <c r="I306">
        <v>0.01</v>
      </c>
      <c r="J306">
        <v>39965.17</v>
      </c>
      <c r="K306">
        <v>80</v>
      </c>
      <c r="L306" s="6">
        <v>1.07</v>
      </c>
      <c r="M306">
        <v>-0.1</v>
      </c>
      <c r="N306">
        <v>29</v>
      </c>
    </row>
    <row r="307" spans="1:14" x14ac:dyDescent="0.2">
      <c r="A307" t="s">
        <v>18</v>
      </c>
      <c r="B307">
        <v>9</v>
      </c>
      <c r="C307" s="8" t="s">
        <v>48</v>
      </c>
      <c r="D307">
        <v>2024</v>
      </c>
      <c r="E307">
        <v>112.2</v>
      </c>
      <c r="F307">
        <v>0.28470000000000001</v>
      </c>
      <c r="G307">
        <v>2679923.9</v>
      </c>
      <c r="H307">
        <v>4.8000000000000001E-2</v>
      </c>
      <c r="I307">
        <v>2.3E-2</v>
      </c>
      <c r="J307">
        <v>76149.87</v>
      </c>
      <c r="K307">
        <v>96.2</v>
      </c>
      <c r="L307" s="6">
        <v>0.95</v>
      </c>
      <c r="M307">
        <v>2.4</v>
      </c>
      <c r="N307">
        <v>66</v>
      </c>
    </row>
    <row r="308" spans="1:14" x14ac:dyDescent="0.2">
      <c r="A308" t="s">
        <v>14</v>
      </c>
      <c r="B308">
        <v>10</v>
      </c>
      <c r="C308" s="8" t="s">
        <v>46</v>
      </c>
      <c r="D308">
        <v>2024</v>
      </c>
      <c r="E308">
        <v>100.9</v>
      </c>
      <c r="F308">
        <v>0.23</v>
      </c>
      <c r="G308">
        <v>43140</v>
      </c>
      <c r="H308">
        <v>5.5999999999999987E-2</v>
      </c>
      <c r="I308">
        <v>3.7000000000000012E-2</v>
      </c>
      <c r="J308">
        <v>68228.39</v>
      </c>
      <c r="K308">
        <v>107.9</v>
      </c>
      <c r="L308" s="6">
        <v>0.95</v>
      </c>
      <c r="M308">
        <v>6.1</v>
      </c>
      <c r="N308">
        <v>20</v>
      </c>
    </row>
    <row r="309" spans="1:14" x14ac:dyDescent="0.2">
      <c r="A309" t="s">
        <v>16</v>
      </c>
      <c r="B309">
        <v>11</v>
      </c>
      <c r="C309" s="8" t="s">
        <v>50</v>
      </c>
      <c r="D309">
        <v>2024</v>
      </c>
      <c r="E309">
        <v>85.7</v>
      </c>
      <c r="F309">
        <v>0.2218</v>
      </c>
      <c r="G309">
        <v>292751.5</v>
      </c>
      <c r="H309">
        <v>6.2E-2</v>
      </c>
      <c r="I309">
        <v>0.03</v>
      </c>
      <c r="J309">
        <v>86371.97</v>
      </c>
      <c r="K309">
        <v>69</v>
      </c>
      <c r="L309" s="6">
        <v>0.86</v>
      </c>
      <c r="M309">
        <v>5</v>
      </c>
      <c r="N309">
        <v>43</v>
      </c>
    </row>
    <row r="310" spans="1:14" x14ac:dyDescent="0.2">
      <c r="A310" t="s">
        <v>17</v>
      </c>
      <c r="B310">
        <v>12</v>
      </c>
      <c r="C310" s="8" t="s">
        <v>64</v>
      </c>
      <c r="D310">
        <v>2024</v>
      </c>
      <c r="E310">
        <v>91.1</v>
      </c>
      <c r="F310">
        <v>0.24360000000000001</v>
      </c>
      <c r="G310">
        <v>1772934.4</v>
      </c>
      <c r="H310">
        <v>7.400000000000001E-2</v>
      </c>
      <c r="I310">
        <v>2.9000000000000001E-2</v>
      </c>
      <c r="J310">
        <v>41142.43</v>
      </c>
      <c r="K310">
        <v>198.1</v>
      </c>
      <c r="L310" s="6">
        <v>1.03</v>
      </c>
      <c r="M310">
        <v>4.2</v>
      </c>
      <c r="N310">
        <v>38</v>
      </c>
    </row>
    <row r="311" spans="1:14" x14ac:dyDescent="0.2">
      <c r="A311" t="s">
        <v>15</v>
      </c>
      <c r="B311">
        <v>13</v>
      </c>
      <c r="C311" s="8" t="s">
        <v>52</v>
      </c>
      <c r="D311">
        <v>2024</v>
      </c>
      <c r="E311">
        <v>137.1</v>
      </c>
      <c r="F311">
        <v>0.34799999999999998</v>
      </c>
      <c r="G311">
        <v>450285.4</v>
      </c>
      <c r="H311">
        <v>3.1E-2</v>
      </c>
      <c r="I311">
        <v>1.2999999999999999E-2</v>
      </c>
      <c r="J311">
        <v>29787.8</v>
      </c>
      <c r="K311">
        <v>104</v>
      </c>
      <c r="L311" s="6">
        <v>1.23</v>
      </c>
      <c r="M311">
        <v>4.9000000000000004</v>
      </c>
      <c r="N311">
        <v>51</v>
      </c>
    </row>
    <row r="312" spans="1:14" x14ac:dyDescent="0.2">
      <c r="A312" t="s">
        <v>26</v>
      </c>
      <c r="B312">
        <v>14</v>
      </c>
      <c r="C312" s="8" t="s">
        <v>57</v>
      </c>
      <c r="D312">
        <v>2024</v>
      </c>
      <c r="E312">
        <v>91</v>
      </c>
      <c r="F312">
        <v>0.12720000000000001</v>
      </c>
      <c r="G312">
        <v>24689.8</v>
      </c>
      <c r="H312">
        <v>2.3E-2</v>
      </c>
      <c r="I312">
        <v>2.4E-2</v>
      </c>
      <c r="J312">
        <v>95775.59</v>
      </c>
      <c r="K312">
        <v>30.2</v>
      </c>
      <c r="L312" s="6">
        <v>1.1000000000000001</v>
      </c>
      <c r="M312">
        <v>4.5999999999999996</v>
      </c>
      <c r="N312">
        <v>20</v>
      </c>
    </row>
    <row r="313" spans="1:14" x14ac:dyDescent="0.2">
      <c r="A313" t="s">
        <v>19</v>
      </c>
      <c r="B313">
        <v>15</v>
      </c>
      <c r="C313" s="8" t="s">
        <v>42</v>
      </c>
      <c r="D313">
        <v>2024</v>
      </c>
      <c r="E313">
        <v>74.7</v>
      </c>
      <c r="F313">
        <v>0.1472</v>
      </c>
      <c r="G313">
        <v>120184.7</v>
      </c>
      <c r="H313">
        <v>0.03</v>
      </c>
      <c r="I313">
        <v>0.04</v>
      </c>
      <c r="J313">
        <v>54471.94</v>
      </c>
      <c r="K313">
        <v>45.8</v>
      </c>
      <c r="L313" s="6">
        <v>0.87</v>
      </c>
      <c r="M313">
        <v>13.6</v>
      </c>
      <c r="N313">
        <v>11</v>
      </c>
    </row>
    <row r="314" spans="1:14" x14ac:dyDescent="0.2">
      <c r="A314" t="s">
        <v>25</v>
      </c>
      <c r="B314">
        <v>16</v>
      </c>
      <c r="C314" s="8" t="s">
        <v>51</v>
      </c>
      <c r="D314">
        <v>2024</v>
      </c>
      <c r="E314">
        <v>73.900000000000006</v>
      </c>
      <c r="F314">
        <v>0.1094</v>
      </c>
      <c r="G314">
        <v>291635.7</v>
      </c>
      <c r="H314">
        <v>3.1E-2</v>
      </c>
      <c r="I314">
        <v>3.7000000000000012E-2</v>
      </c>
      <c r="J314">
        <v>31500.43</v>
      </c>
      <c r="K314">
        <v>257.7</v>
      </c>
      <c r="L314" s="6">
        <v>0.7</v>
      </c>
      <c r="M314">
        <v>11.7</v>
      </c>
      <c r="N314">
        <v>20</v>
      </c>
    </row>
    <row r="315" spans="1:14" x14ac:dyDescent="0.2">
      <c r="A315" t="s">
        <v>20</v>
      </c>
      <c r="B315">
        <v>17</v>
      </c>
      <c r="C315" s="8" t="s">
        <v>53</v>
      </c>
      <c r="D315">
        <v>2024</v>
      </c>
      <c r="E315">
        <v>97.8</v>
      </c>
      <c r="F315">
        <v>0.32740000000000002</v>
      </c>
      <c r="G315">
        <v>2292151.5</v>
      </c>
      <c r="H315">
        <v>3.7999999999999999E-2</v>
      </c>
      <c r="I315">
        <v>1.0999999999999999E-2</v>
      </c>
      <c r="J315">
        <v>34128.129999999997</v>
      </c>
      <c r="K315">
        <v>105.1</v>
      </c>
      <c r="L315" s="6">
        <v>1.03</v>
      </c>
      <c r="M315">
        <v>4.2</v>
      </c>
      <c r="N315">
        <v>66</v>
      </c>
    </row>
    <row r="316" spans="1:14" x14ac:dyDescent="0.2">
      <c r="A316" t="s">
        <v>27</v>
      </c>
      <c r="B316">
        <v>18</v>
      </c>
      <c r="C316" s="8" t="s">
        <v>58</v>
      </c>
      <c r="D316">
        <v>2024</v>
      </c>
      <c r="E316">
        <v>117</v>
      </c>
      <c r="F316">
        <v>0.26950000000000002</v>
      </c>
      <c r="G316">
        <v>966067.5</v>
      </c>
      <c r="H316">
        <v>2.8000000000000001E-2</v>
      </c>
      <c r="I316">
        <v>3.2000000000000001E-2</v>
      </c>
      <c r="J316">
        <v>110437.78</v>
      </c>
      <c r="K316">
        <v>1766</v>
      </c>
      <c r="L316" s="6">
        <v>1.1599999999999999</v>
      </c>
      <c r="M316">
        <v>6</v>
      </c>
      <c r="N316">
        <v>66</v>
      </c>
    </row>
    <row r="317" spans="1:14" x14ac:dyDescent="0.2">
      <c r="A317" t="s">
        <v>23</v>
      </c>
      <c r="B317">
        <v>19</v>
      </c>
      <c r="C317" s="8" t="s">
        <v>55</v>
      </c>
      <c r="D317">
        <v>2024</v>
      </c>
      <c r="E317">
        <v>82.1</v>
      </c>
      <c r="F317">
        <v>0.23150000000000001</v>
      </c>
      <c r="G317">
        <v>100288</v>
      </c>
      <c r="H317">
        <v>5.0999999999999997E-2</v>
      </c>
      <c r="I317">
        <v>9.0000000000000011E-3</v>
      </c>
      <c r="J317">
        <v>48048.08</v>
      </c>
      <c r="K317">
        <v>526</v>
      </c>
      <c r="L317" s="6">
        <v>0.91999999999999993</v>
      </c>
      <c r="M317">
        <v>8</v>
      </c>
      <c r="N317">
        <v>20</v>
      </c>
    </row>
    <row r="318" spans="1:14" x14ac:dyDescent="0.2">
      <c r="A318" t="s">
        <v>24</v>
      </c>
      <c r="B318">
        <v>20</v>
      </c>
      <c r="C318" s="8" t="s">
        <v>56</v>
      </c>
      <c r="D318">
        <v>2024</v>
      </c>
      <c r="E318">
        <v>134</v>
      </c>
      <c r="F318">
        <v>0.2029</v>
      </c>
      <c r="G318">
        <v>64897</v>
      </c>
      <c r="H318">
        <v>4.2999999999999997E-2</v>
      </c>
      <c r="I318">
        <v>2.3E-2</v>
      </c>
      <c r="J318">
        <v>101464.96000000001</v>
      </c>
      <c r="K318">
        <v>110.7</v>
      </c>
      <c r="L318" s="6">
        <v>1.28</v>
      </c>
      <c r="M318">
        <v>2.2000000000000002</v>
      </c>
      <c r="N318">
        <v>66</v>
      </c>
    </row>
    <row r="319" spans="1:14" x14ac:dyDescent="0.2">
      <c r="A319" t="s">
        <v>22</v>
      </c>
      <c r="B319">
        <v>21</v>
      </c>
      <c r="C319" s="8" t="s">
        <v>54</v>
      </c>
      <c r="D319">
        <v>2024</v>
      </c>
      <c r="E319">
        <v>82</v>
      </c>
      <c r="F319">
        <v>0.25459999999999999</v>
      </c>
      <c r="G319">
        <v>52316</v>
      </c>
      <c r="H319">
        <v>4.8000000000000001E-2</v>
      </c>
      <c r="I319">
        <v>1.2999999999999999E-2</v>
      </c>
      <c r="J319">
        <v>39119.699999999997</v>
      </c>
      <c r="K319">
        <v>119.4</v>
      </c>
      <c r="L319" s="6">
        <v>0.92999999999999994</v>
      </c>
      <c r="M319">
        <v>8.6</v>
      </c>
      <c r="N319">
        <v>20</v>
      </c>
    </row>
    <row r="320" spans="1:14" x14ac:dyDescent="0.2">
      <c r="A320" t="s">
        <v>29</v>
      </c>
      <c r="B320">
        <v>22</v>
      </c>
      <c r="C320" s="8" t="s">
        <v>59</v>
      </c>
      <c r="D320">
        <v>2024</v>
      </c>
      <c r="E320">
        <v>67.400000000000006</v>
      </c>
      <c r="F320">
        <v>0.20899999999999999</v>
      </c>
      <c r="G320">
        <v>1175971.6000000001</v>
      </c>
      <c r="H320">
        <v>1.7999999999999999E-2</v>
      </c>
      <c r="I320">
        <v>3.7000000000000012E-2</v>
      </c>
      <c r="J320">
        <v>35393.83</v>
      </c>
      <c r="K320">
        <v>116.3</v>
      </c>
      <c r="L320" s="6">
        <v>0.84</v>
      </c>
      <c r="M320">
        <v>8.1</v>
      </c>
      <c r="N320">
        <v>20</v>
      </c>
    </row>
    <row r="321" spans="1:14" x14ac:dyDescent="0.2">
      <c r="A321" t="s">
        <v>30</v>
      </c>
      <c r="B321">
        <f>B309+1</f>
        <v>12</v>
      </c>
      <c r="C321" s="8" t="s">
        <v>60</v>
      </c>
      <c r="D321">
        <v>2024</v>
      </c>
      <c r="E321">
        <v>86.7</v>
      </c>
      <c r="F321">
        <v>0.24260000000000001</v>
      </c>
      <c r="G321">
        <v>345909.1</v>
      </c>
      <c r="H321">
        <v>4.3999999999999997E-2</v>
      </c>
      <c r="I321">
        <v>2.7E-2</v>
      </c>
      <c r="J321">
        <v>26766.05</v>
      </c>
      <c r="K321">
        <v>81.400000000000006</v>
      </c>
      <c r="L321" s="6">
        <v>1.05</v>
      </c>
      <c r="M321">
        <v>6.9</v>
      </c>
      <c r="N321">
        <v>38</v>
      </c>
    </row>
    <row r="322" spans="1:14" x14ac:dyDescent="0.2">
      <c r="A322" t="s">
        <v>31</v>
      </c>
      <c r="B322">
        <v>24</v>
      </c>
      <c r="C322" s="8" t="s">
        <v>61</v>
      </c>
      <c r="D322">
        <v>2024</v>
      </c>
      <c r="E322">
        <v>61.1</v>
      </c>
      <c r="F322">
        <v>0.1883</v>
      </c>
      <c r="G322">
        <v>592506.80000000005</v>
      </c>
      <c r="H322">
        <v>3.1E-2</v>
      </c>
      <c r="I322">
        <v>5.8000000000000003E-2</v>
      </c>
      <c r="J322">
        <v>32939.72</v>
      </c>
      <c r="K322">
        <v>105.3</v>
      </c>
      <c r="L322" s="6">
        <v>0.65</v>
      </c>
      <c r="M322">
        <v>17.8</v>
      </c>
      <c r="N322">
        <v>17</v>
      </c>
    </row>
    <row r="323" spans="1:14" x14ac:dyDescent="0.2">
      <c r="A323" t="s">
        <v>35</v>
      </c>
      <c r="B323">
        <v>25</v>
      </c>
      <c r="C323" s="8" t="s">
        <v>65</v>
      </c>
      <c r="D323">
        <v>2024</v>
      </c>
      <c r="E323">
        <v>114.3</v>
      </c>
      <c r="F323">
        <v>0.24340000000000001</v>
      </c>
      <c r="G323">
        <v>480604.6</v>
      </c>
      <c r="H323">
        <v>6.3E-2</v>
      </c>
      <c r="I323">
        <v>0.02</v>
      </c>
      <c r="J323">
        <v>38208.879999999997</v>
      </c>
      <c r="K323">
        <v>111.4</v>
      </c>
      <c r="L323" s="6">
        <v>1.06</v>
      </c>
      <c r="M323">
        <v>3.3</v>
      </c>
      <c r="N323">
        <v>29</v>
      </c>
    </row>
    <row r="324" spans="1:14" x14ac:dyDescent="0.2">
      <c r="A324" t="s">
        <v>32</v>
      </c>
      <c r="B324">
        <v>26</v>
      </c>
      <c r="C324" s="8" t="s">
        <v>63</v>
      </c>
      <c r="D324">
        <v>2024</v>
      </c>
      <c r="E324">
        <v>89.5</v>
      </c>
      <c r="F324">
        <v>0.2084</v>
      </c>
      <c r="G324">
        <v>76694.899999999994</v>
      </c>
      <c r="H324">
        <v>2.4E-2</v>
      </c>
      <c r="I324">
        <v>0.02</v>
      </c>
      <c r="J324">
        <v>50059.75</v>
      </c>
      <c r="K324">
        <v>18.399999999999999</v>
      </c>
      <c r="L324" s="6">
        <v>0.85</v>
      </c>
      <c r="M324">
        <v>5</v>
      </c>
      <c r="N324">
        <v>20</v>
      </c>
    </row>
    <row r="325" spans="1:14" x14ac:dyDescent="0.2">
      <c r="A325" t="s">
        <v>33</v>
      </c>
      <c r="B325">
        <v>27</v>
      </c>
      <c r="C325" s="8" t="s">
        <v>62</v>
      </c>
      <c r="D325">
        <v>2024</v>
      </c>
      <c r="E325">
        <v>83.8</v>
      </c>
      <c r="F325">
        <v>0.18060000000000001</v>
      </c>
      <c r="G325">
        <v>163218.70000000001</v>
      </c>
      <c r="H325">
        <v>3.5999999999999997E-2</v>
      </c>
      <c r="I325">
        <v>3.2000000000000001E-2</v>
      </c>
      <c r="J325">
        <v>75075.600000000006</v>
      </c>
      <c r="K325">
        <v>25.9</v>
      </c>
      <c r="L325" s="6">
        <v>0.69</v>
      </c>
      <c r="M325">
        <v>5</v>
      </c>
      <c r="N325">
        <v>20</v>
      </c>
    </row>
  </sheetData>
  <autoFilter ref="A1:N325" xr:uid="{00000000-0001-0000-0000-000000000000}"/>
  <sortState xmlns:xlrd2="http://schemas.microsoft.com/office/spreadsheetml/2017/richdata2" ref="A2:N325">
    <sortCondition ref="A1:A325"/>
  </sortState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Michał Książek, s190166</cp:lastModifiedBy>
  <dcterms:created xsi:type="dcterms:W3CDTF">2025-05-09T18:27:15Z</dcterms:created>
  <dcterms:modified xsi:type="dcterms:W3CDTF">2025-05-23T13:38:53Z</dcterms:modified>
</cp:coreProperties>
</file>